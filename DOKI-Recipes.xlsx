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ettings" sheetId="2" state="visible" r:id="rId4"/>
    <sheet name="Vinegar Bath" sheetId="3" state="visible" r:id="rId5"/>
    <sheet name="Teriyaki Jerky" sheetId="4" state="visible" r:id="rId6"/>
    <sheet name="Gochujangh Jerky" sheetId="5" state="visible" r:id="rId7"/>
    <sheet name="Pepper Jerky" sheetId="6" state="visible" r:id="rId8"/>
    <sheet name="Karnatka Nati Jerky" sheetId="7" state="visible" r:id="rId9"/>
    <sheet name="Kerala fry Jerky" sheetId="8" state="visible" r:id="rId10"/>
    <sheet name="Mughlai Jerky" sheetId="9" state="visible" r:id="rId11"/>
    <sheet name="Masala Jerky" sheetId="10" state="visible" r:id="rId12"/>
    <sheet name="Piri Piri Masala" sheetId="11" state="visible" r:id="rId13"/>
    <sheet name="Summary" sheetId="12" state="visible" r:id="rId14"/>
    <sheet name="Ingredients" sheetId="13" state="visible" r:id="rId15"/>
  </sheets>
  <definedNames>
    <definedName function="false" hidden="false" localSheetId="4" name="_xlnm.Print_Area" vbProcedure="false">'Gochujangh Jerky'!$A$1:$H$55</definedName>
    <definedName function="false" hidden="false" localSheetId="6" name="_xlnm.Print_Area" vbProcedure="false">'Karnatka Nati Jerky'!$A$1:$H$55</definedName>
    <definedName function="false" hidden="false" localSheetId="7" name="_xlnm.Print_Area" vbProcedure="false">'Kerala fry Jerky'!$A$1:$H$55</definedName>
    <definedName function="false" hidden="false" localSheetId="9" name="_xlnm.Print_Area" vbProcedure="false">'Masala Jerky'!$A$1:$H$55</definedName>
    <definedName function="false" hidden="false" localSheetId="8" name="_xlnm.Print_Area" vbProcedure="false">'Mughlai Jerky'!$A$1:$H$55</definedName>
    <definedName function="false" hidden="false" localSheetId="5" name="_xlnm.Print_Area" vbProcedure="false">'Pepper Jerky'!$A$1:$H$55</definedName>
    <definedName function="false" hidden="false" localSheetId="10" name="_xlnm.Print_Area" vbProcedure="false">'Piri Piri Masala'!$A$1:$H$55</definedName>
    <definedName function="false" hidden="false" localSheetId="3" name="_xlnm.Print_Area" vbProcedure="false">'Teriyaki Jerky'!$A$1:$H$55</definedName>
    <definedName function="false" hidden="false" localSheetId="2" name="_xlnm.Print_Area" vbProcedure="false">'Vinegar Bath'!$A$1:$H$55</definedName>
    <definedName function="false" hidden="false" name="IngredientList" vbProcedure="false">Ingredients!$A$5:$A$55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<sst xmlns="http://schemas.openxmlformats.org/spreadsheetml/2006/main" count="473" uniqueCount="228">
  <si>
    <t xml:space="preserve">DOKI recipe workbook</t>
  </si>
  <si>
    <t xml:space="preserve">One sheet per recipe. Row 3 of each sheet says what its weights are measured against.</t>
  </si>
  <si>
    <t xml:space="preserve">How to use</t>
  </si>
  <si>
    <t xml:space="preserve">Open the sheet for a recipe. In the shaded columns type the ingredient name and its weight. Everything to the right calculates itself: the percentage, the target, which scale should weigh it, and the tolerance that scale can actually hold.</t>
  </si>
  <si>
    <t xml:space="preserve">Two kinds of recipe</t>
  </si>
  <si>
    <t xml:space="preserve">Meat recipes (the jerky and the vinegar bath): weights are grams per 1 kg of meat. The station weighs the meat first and scales every ingredient to it.</t>
  </si>
  <si>
    <t xml:space="preserve">Fixed batches (Piri Piri Masala): weights are grams per batch — one standard size, no meat. The station skips the meat step and goes straight to recipe review with exactly these weights. Row 3 says 'Fixed batch'.</t>
  </si>
  <si>
    <t xml:space="preserve">Papain — the last step, by meat</t>
  </si>
  <si>
    <t xml:space="preserve">Papain is not on any recipe sheet. For the 7 jerky recipes, once every other ingredient is in, the station asks what the meat is: buffalo gets 6 g per kg of meat, chicken gets 2 g per kg of meat; anything else gets none. Change the rates in recipes.json.</t>
  </si>
  <si>
    <t xml:space="preserve">What the colours mean</t>
  </si>
  <si>
    <t xml:space="preserve">Shaded cells are yours to type in. Everything else is a formula — overwriting one breaks that row.</t>
  </si>
  <si>
    <t xml:space="preserve">A red row means neither scale can weigh that ingredient at this batch size. Split it, premix it, or make the batch bigger.</t>
  </si>
  <si>
    <t xml:space="preserve">An amber row is fine to run, but the scale's resolution is coarser than the recipe's percentage, so it is held to a looser band. The Note column says so.</t>
  </si>
  <si>
    <t xml:space="preserve">A weight of 0 lists an ingredient as a reminder (liquid smoke, for now): the station shows it under 'listed but not weighed' and does not weigh it. It does not stop the recipe.</t>
  </si>
  <si>
    <t xml:space="preserve">Which scale gets what</t>
  </si>
  <si>
    <t xml:space="preserve">Everything from 4 g up is weighed on the main scale, where the Pi measures and logs it; only smaller items go on the small scale. The main scale reads in 1 g steps, so below 100 g it cannot hold the recipe's 2% and holds ±2 g instead — 60 g is ±2 g (3.3%), 10 g is ±2 g (20%). Those rows are amber. The 4 g setting is in recipes.json.</t>
  </si>
  <si>
    <t xml:space="preserve">The Settings sheet mirrors recipes.json, which is what the station reads. To change a scale or the tolerance, change recipes.json and rebuild this workbook — changing Settings alone changes only the workbook.</t>
  </si>
  <si>
    <t xml:space="preserve">Names</t>
  </si>
  <si>
    <t xml:space="preserve">Jerky ingredient names are exactly as written on the recipe sheets, spelling included. The same spice spelled two ways is two lines in the stock totals, so keep to one spelling where you can — the Ingredients sheet lists them.</t>
  </si>
  <si>
    <t xml:space="preserve">Feeding the station</t>
  </si>
  <si>
    <t xml:space="preserve">Run  python3 xlsx_to_recipes.py DOKI-Recipes.xlsx  to turn this workbook into the recipes.json the panel reads. It refuses to write a recipe that still has an unweighable ingredient or an untouched example row.</t>
  </si>
  <si>
    <t xml:space="preserve">Settings</t>
  </si>
  <si>
    <t xml:space="preserve">These drive every recipe sheet, and mirror recipes.json — the station reads that file, not this one.</t>
  </si>
  <si>
    <t xml:space="preserve">Tolerance (percent of target)</t>
  </si>
  <si>
    <t xml:space="preserve">What the recipe asks for. The station uses this too.</t>
  </si>
  <si>
    <t xml:space="preserve">MAIN SCALE — name</t>
  </si>
  <si>
    <t xml:space="preserve">Main scale</t>
  </si>
  <si>
    <t xml:space="preserve">  division (g)</t>
  </si>
  <si>
    <t xml:space="preserve">Smallest step it reads. Copied from recipes.json — change it there.</t>
  </si>
  <si>
    <t xml:space="preserve">  capacity (g)</t>
  </si>
  <si>
    <t xml:space="preserve">  usable (g)</t>
  </si>
  <si>
    <t xml:space="preserve">Capacity less the tub's tare.</t>
  </si>
  <si>
    <t xml:space="preserve">SMALL SCALE — name</t>
  </si>
  <si>
    <t xml:space="preserve">Small scale</t>
  </si>
  <si>
    <t xml:space="preserve">SPEC NOT CONFIRMED — check the label on the scale.</t>
  </si>
  <si>
    <t xml:space="preserve">SPEC NOT CONFIRMED.</t>
  </si>
  <si>
    <t xml:space="preserve">Capacity less the tare of the container you weigh into.</t>
  </si>
  <si>
    <t xml:space="preserve">Crossover — derived</t>
  </si>
  <si>
    <t xml:space="preserve">Below this the main scale cannot hold the tolerance: two of its divisions no longer fit inside the percentage.</t>
  </si>
  <si>
    <t xml:space="preserve">Crossover — override</t>
  </si>
  <si>
    <t xml:space="preserve">Optional. Leave blank to use the derived value. A lower number keeps more ingredients on the main scale — easier to pour into, looser tolerance, and the recipe sheets say which.</t>
  </si>
  <si>
    <t xml:space="preserve">Crossover in force (g)</t>
  </si>
  <si>
    <t xml:space="preserve">Dead zone check</t>
  </si>
  <si>
    <t xml:space="preserve">Vinegar Bath</t>
  </si>
  <si>
    <t xml:space="preserve">Type in the shaded cells only. Weights are GRAMS PER 1 KG OF MEAT. Everything to the right is calculated.</t>
  </si>
  <si>
    <t xml:space="preserve">Batch type</t>
  </si>
  <si>
    <t xml:space="preserve">Per 1 kg of meat</t>
  </si>
  <si>
    <t xml:space="preserve">Quantities scale with the meat weighed at the station.</t>
  </si>
  <si>
    <t xml:space="preserve">Batch base weight (g)</t>
  </si>
  <si>
    <t xml:space="preserve">A typical batch. Only the Target / Weigh-on / Tolerance columns use it — the station recomputes them from the meat it actually weighs.</t>
  </si>
  <si>
    <t xml:space="preserve">Product ID</t>
  </si>
  <si>
    <t xml:space="preserve">vinegar_bath</t>
  </si>
  <si>
    <t xml:space="preserve">Bases this applies to</t>
  </si>
  <si>
    <t xml:space="preserve">chicken, pork, beef, mutton, fish</t>
  </si>
  <si>
    <t xml:space="preserve">Flour ingredient</t>
  </si>
  <si>
    <t xml:space="preserve">Water ingredient</t>
  </si>
  <si>
    <t xml:space="preserve">Meat</t>
  </si>
  <si>
    <t xml:space="preserve">Which animal this product is made from. The operator is not asked — the product implies it. Leave blank if undecided.</t>
  </si>
  <si>
    <t xml:space="preserve">#</t>
  </si>
  <si>
    <t xml:space="preserve">Ingredient</t>
  </si>
  <si>
    <t xml:space="preserve">g per 1 kg meat</t>
  </si>
  <si>
    <t xml:space="preserve">% of meat</t>
  </si>
  <si>
    <t xml:space="preserve">Target in this batch</t>
  </si>
  <si>
    <t xml:space="preserve">Weigh on</t>
  </si>
  <si>
    <t xml:space="preserve">Tolerance ±</t>
  </si>
  <si>
    <t xml:space="preserve">Note</t>
  </si>
  <si>
    <t xml:space="preserve">White vinegar</t>
  </si>
  <si>
    <t xml:space="preserve">TOTAL</t>
  </si>
  <si>
    <t xml:space="preserve">Batch total with meat (g)</t>
  </si>
  <si>
    <t xml:space="preserve">Teriyaki Jerky</t>
  </si>
  <si>
    <t xml:space="preserve">teriyaki_jerky</t>
  </si>
  <si>
    <t xml:space="preserve">teriyaki sauce</t>
  </si>
  <si>
    <t xml:space="preserve">soy sauce</t>
  </si>
  <si>
    <t xml:space="preserve">honey</t>
  </si>
  <si>
    <t xml:space="preserve">Tamarind pulp</t>
  </si>
  <si>
    <t xml:space="preserve">verdad</t>
  </si>
  <si>
    <t xml:space="preserve">jaggery powder</t>
  </si>
  <si>
    <t xml:space="preserve">sea salt</t>
  </si>
  <si>
    <t xml:space="preserve">seasame seed</t>
  </si>
  <si>
    <t xml:space="preserve">Yeast extract</t>
  </si>
  <si>
    <t xml:space="preserve">black pepper</t>
  </si>
  <si>
    <t xml:space="preserve">Onion powder</t>
  </si>
  <si>
    <t xml:space="preserve">chilli flake</t>
  </si>
  <si>
    <t xml:space="preserve">garlic powder</t>
  </si>
  <si>
    <t xml:space="preserve">bhut jholokia</t>
  </si>
  <si>
    <t xml:space="preserve">liquid smoke</t>
  </si>
  <si>
    <t xml:space="preserve">Last step — Papain: the station asks which meat at the end of the batch. buffalo 6 g per kg of meat, chicken 2 g per kg of meat; anything else, none. Not typed here — set in recipes.json.</t>
  </si>
  <si>
    <t xml:space="preserve">Gochujangh Jerky</t>
  </si>
  <si>
    <t xml:space="preserve">gochujangh_jerky</t>
  </si>
  <si>
    <t xml:space="preserve">gochujang paste</t>
  </si>
  <si>
    <t xml:space="preserve">onion powder</t>
  </si>
  <si>
    <t xml:space="preserve">Verdad</t>
  </si>
  <si>
    <t xml:space="preserve">chilli flakes powder</t>
  </si>
  <si>
    <t xml:space="preserve">sesame seeds</t>
  </si>
  <si>
    <t xml:space="preserve">Yeast Extract</t>
  </si>
  <si>
    <t xml:space="preserve">bhut jholokia powder</t>
  </si>
  <si>
    <t xml:space="preserve">Pepper Jerky</t>
  </si>
  <si>
    <t xml:space="preserve">pepper_jerky</t>
  </si>
  <si>
    <t xml:space="preserve">paprika</t>
  </si>
  <si>
    <t xml:space="preserve">yeast extract</t>
  </si>
  <si>
    <t xml:space="preserve">Verdad N6</t>
  </si>
  <si>
    <t xml:space="preserve">Karnatka Nati Jerky</t>
  </si>
  <si>
    <t xml:space="preserve">karnatka_nati_jerky</t>
  </si>
  <si>
    <t xml:space="preserve">Country chicken</t>
  </si>
  <si>
    <t xml:space="preserve">coconut milk</t>
  </si>
  <si>
    <t xml:space="preserve">curry leaf powder</t>
  </si>
  <si>
    <t xml:space="preserve">fennel powder</t>
  </si>
  <si>
    <t xml:space="preserve">ginger powder</t>
  </si>
  <si>
    <t xml:space="preserve">soya sauce</t>
  </si>
  <si>
    <t xml:space="preserve">green chilli powder</t>
  </si>
  <si>
    <t xml:space="preserve">vedad</t>
  </si>
  <si>
    <t xml:space="preserve">tamarind paste</t>
  </si>
  <si>
    <t xml:space="preserve">olive oil</t>
  </si>
  <si>
    <t xml:space="preserve">dessicated coconut</t>
  </si>
  <si>
    <t xml:space="preserve">curry leaf powder (2nd addition)</t>
  </si>
  <si>
    <t xml:space="preserve">Kerala fry Jerky</t>
  </si>
  <si>
    <t xml:space="preserve">kerala_fry_jerky</t>
  </si>
  <si>
    <t xml:space="preserve">cumin powder</t>
  </si>
  <si>
    <t xml:space="preserve">garam masala</t>
  </si>
  <si>
    <t xml:space="preserve">corriender powder</t>
  </si>
  <si>
    <t xml:space="preserve">Mughlai Jerky</t>
  </si>
  <si>
    <t xml:space="preserve">mughlai_jerky</t>
  </si>
  <si>
    <t xml:space="preserve">Curd</t>
  </si>
  <si>
    <t xml:space="preserve">Cashew</t>
  </si>
  <si>
    <t xml:space="preserve">Honey</t>
  </si>
  <si>
    <t xml:space="preserve">Salt</t>
  </si>
  <si>
    <t xml:space="preserve">Kasuri meethi</t>
  </si>
  <si>
    <t xml:space="preserve">Cardamom</t>
  </si>
  <si>
    <t xml:space="preserve">Garam Masala</t>
  </si>
  <si>
    <t xml:space="preserve">Jeera Poawder</t>
  </si>
  <si>
    <t xml:space="preserve">Jaggery Powder</t>
  </si>
  <si>
    <t xml:space="preserve">Green Chili</t>
  </si>
  <si>
    <t xml:space="preserve">Masala Jerky</t>
  </si>
  <si>
    <t xml:space="preserve">masala_jerky</t>
  </si>
  <si>
    <t xml:space="preserve">Chicken</t>
  </si>
  <si>
    <t xml:space="preserve">ONION POWDER</t>
  </si>
  <si>
    <t xml:space="preserve">GARLIC POWDER</t>
  </si>
  <si>
    <t xml:space="preserve">CRACKED BLACK PEPPER</t>
  </si>
  <si>
    <t xml:space="preserve">JAGGERY POWDER</t>
  </si>
  <si>
    <t xml:space="preserve">DARK SOY SAUCE</t>
  </si>
  <si>
    <t xml:space="preserve">TERIYAKI SAUCE</t>
  </si>
  <si>
    <t xml:space="preserve">BALSAMIC VINEGAR</t>
  </si>
  <si>
    <t xml:space="preserve">PINEAPPLE JUICE</t>
  </si>
  <si>
    <t xml:space="preserve">BHUT JHOLOKIA POWDER</t>
  </si>
  <si>
    <t xml:space="preserve">SALT</t>
  </si>
  <si>
    <t xml:space="preserve">CHILLI FLAKES</t>
  </si>
  <si>
    <t xml:space="preserve">CRACKED BLACK PEPPER (2nd addition)</t>
  </si>
  <si>
    <t xml:space="preserve">THYME</t>
  </si>
  <si>
    <t xml:space="preserve">OREGENO FLAKES</t>
  </si>
  <si>
    <t xml:space="preserve">RAW GARLIC</t>
  </si>
  <si>
    <t xml:space="preserve">RAW GINGER</t>
  </si>
  <si>
    <t xml:space="preserve">OLIVE OIL</t>
  </si>
  <si>
    <t xml:space="preserve">Piri Piri Masala</t>
  </si>
  <si>
    <t xml:space="preserve">Type in the shaded cells only. Weights are GRAMS PER BATCH — one standard batch, no meat. Everything to the right is calculated.</t>
  </si>
  <si>
    <t xml:space="preserve">Fixed batch</t>
  </si>
  <si>
    <t xml:space="preserve">No meat is weighed. The station goes straight to recipe review with these exact weights.</t>
  </si>
  <si>
    <t xml:space="preserve">Batch size (g)</t>
  </si>
  <si>
    <t xml:space="preserve">The whole batch: the sum of the weights below. Change it by changing them.</t>
  </si>
  <si>
    <t xml:space="preserve">piri_piri_masala</t>
  </si>
  <si>
    <t xml:space="preserve">—</t>
  </si>
  <si>
    <t xml:space="preserve">A fixed batch: no meat goes on the scale.</t>
  </si>
  <si>
    <t xml:space="preserve">g per batch</t>
  </si>
  <si>
    <t xml:space="preserve">% of batch</t>
  </si>
  <si>
    <t xml:space="preserve">Target (g)</t>
  </si>
  <si>
    <t xml:space="preserve">chilli flakes</t>
  </si>
  <si>
    <t xml:space="preserve">salt</t>
  </si>
  <si>
    <t xml:space="preserve">sugar</t>
  </si>
  <si>
    <t xml:space="preserve">pepper</t>
  </si>
  <si>
    <t xml:space="preserve">tamarind powder</t>
  </si>
  <si>
    <t xml:space="preserve">citric acid</t>
  </si>
  <si>
    <t xml:space="preserve">Batch total (g)</t>
  </si>
  <si>
    <t xml:space="preserve">All recipes</t>
  </si>
  <si>
    <t xml:space="preserve">Rolls up every recipe sheet. Nothing to type here.</t>
  </si>
  <si>
    <t xml:space="preserve">Recipe</t>
  </si>
  <si>
    <t xml:space="preserve">Ingredients</t>
  </si>
  <si>
    <t xml:space="preserve">Total (g)</t>
  </si>
  <si>
    <t xml:space="preserve">Measured against</t>
  </si>
  <si>
    <t xml:space="preserve">On main scale</t>
  </si>
  <si>
    <t xml:space="preserve">On small scale</t>
  </si>
  <si>
    <t xml:space="preserve">Cannot be weighed</t>
  </si>
  <si>
    <t xml:space="preserve">1 kg of meat</t>
  </si>
  <si>
    <t xml:space="preserve">one batch</t>
  </si>
  <si>
    <t xml:space="preserve">Ingredient list</t>
  </si>
  <si>
    <t xml:space="preserve">Feeds the dropdown on every recipe sheet. Add new names at the bottom — keep one spelling per ingredient.</t>
  </si>
  <si>
    <t xml:space="preserve">Bhut jholokia</t>
  </si>
  <si>
    <t xml:space="preserve">Binder (starch)</t>
  </si>
  <si>
    <t xml:space="preserve">Black pepper</t>
  </si>
  <si>
    <t xml:space="preserve">Black pepper mix</t>
  </si>
  <si>
    <t xml:space="preserve">Cardamom powder</t>
  </si>
  <si>
    <t xml:space="preserve">Chilli flake</t>
  </si>
  <si>
    <t xml:space="preserve">Chilli flakes</t>
  </si>
  <si>
    <t xml:space="preserve">Cinnamon powder</t>
  </si>
  <si>
    <t xml:space="preserve">Citric acid</t>
  </si>
  <si>
    <t xml:space="preserve">Classic spice mix</t>
  </si>
  <si>
    <t xml:space="preserve">Clove powder</t>
  </si>
  <si>
    <t xml:space="preserve">Coconut oil</t>
  </si>
  <si>
    <t xml:space="preserve">Coriander powder</t>
  </si>
  <si>
    <t xml:space="preserve">Cumin powder</t>
  </si>
  <si>
    <t xml:space="preserve">Curry leaf</t>
  </si>
  <si>
    <t xml:space="preserve">Fennel powder</t>
  </si>
  <si>
    <t xml:space="preserve">Garam masala</t>
  </si>
  <si>
    <t xml:space="preserve">Garlic paste</t>
  </si>
  <si>
    <t xml:space="preserve">Garlic powder</t>
  </si>
  <si>
    <t xml:space="preserve">Ginger paste</t>
  </si>
  <si>
    <t xml:space="preserve">Ginger-garlic paste</t>
  </si>
  <si>
    <t xml:space="preserve">Gochujang paste</t>
  </si>
  <si>
    <t xml:space="preserve">Ice water</t>
  </si>
  <si>
    <t xml:space="preserve">Jaggery powder</t>
  </si>
  <si>
    <t xml:space="preserve">Lemon juice</t>
  </si>
  <si>
    <t xml:space="preserve">Liquid smoke</t>
  </si>
  <si>
    <t xml:space="preserve">Masala spice mix</t>
  </si>
  <si>
    <t xml:space="preserve">Mustard seed</t>
  </si>
  <si>
    <t xml:space="preserve">Oil</t>
  </si>
  <si>
    <t xml:space="preserve">Onion paste</t>
  </si>
  <si>
    <t xml:space="preserve">Paprika</t>
  </si>
  <si>
    <t xml:space="preserve">Pepper</t>
  </si>
  <si>
    <t xml:space="preserve">Red chilli powder</t>
  </si>
  <si>
    <t xml:space="preserve">Rusk / breadcrumb</t>
  </si>
  <si>
    <t xml:space="preserve">Schezwan paste</t>
  </si>
  <si>
    <t xml:space="preserve">Sea salt</t>
  </si>
  <si>
    <t xml:space="preserve">Sesame seed</t>
  </si>
  <si>
    <t xml:space="preserve">Soy sauce</t>
  </si>
  <si>
    <t xml:space="preserve">Sugar</t>
  </si>
  <si>
    <t xml:space="preserve">Tamarind powder</t>
  </si>
  <si>
    <t xml:space="preserve">Teriyaki sauce</t>
  </si>
  <si>
    <t xml:space="preserve">Turmeric</t>
  </si>
  <si>
    <t xml:space="preserve">Vinegar</t>
  </si>
  <si>
    <t xml:space="preserve">Water</t>
  </si>
</sst>
</file>

<file path=xl/styles.xml><?xml version="1.0" encoding="utf-8"?>
<styleSheet xmlns="http://schemas.openxmlformats.org/spreadsheetml/2006/main">
  <numFmts count="9">
    <numFmt numFmtId="164" formatCode="General"/>
    <numFmt numFmtId="165" formatCode="0.0%"/>
    <numFmt numFmtId="166" formatCode="0.0"/>
    <numFmt numFmtId="167" formatCode="#,##0"/>
    <numFmt numFmtId="168" formatCode="0.00"/>
    <numFmt numFmtId="169" formatCode="General"/>
    <numFmt numFmtId="170" formatCode="0.000%"/>
    <numFmt numFmtId="171" formatCode="#,##0.00"/>
    <numFmt numFmtId="172" formatCode="0"/>
  </numFmts>
  <fonts count="11">
    <font>
      <sz val="11"/>
      <color theme="1"/>
      <name val="Calibri"/>
      <family val="2"/>
      <charset val="1"/>
    </font>
    <font>
      <sz val="10"/>
      <name val="Arial"/>
      <family val="0"/>
    </font>
    <font>
      <sz val="10"/>
      <name val="Arial"/>
      <family val="0"/>
    </font>
    <font>
      <sz val="10"/>
      <name val="Arial"/>
      <family val="0"/>
    </font>
    <font>
      <b val="true"/>
      <sz val="14"/>
      <color rgb="FF1F3552"/>
      <name val="Arial"/>
      <family val="0"/>
      <charset val="1"/>
    </font>
    <font>
      <i val="true"/>
      <sz val="9"/>
      <color rgb="FF666666"/>
      <name val="Arial"/>
      <family val="0"/>
      <charset val="1"/>
    </font>
    <font>
      <b val="true"/>
      <sz val="11"/>
      <color rgb="FF1F3552"/>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FFFFFF"/>
      <name val="Arial"/>
      <family val="0"/>
      <charset val="1"/>
    </font>
  </fonts>
  <fills count="4">
    <fill>
      <patternFill patternType="none"/>
    </fill>
    <fill>
      <patternFill patternType="gray125"/>
    </fill>
    <fill>
      <patternFill patternType="solid">
        <fgColor rgb="FFFFF2CC"/>
        <bgColor rgb="FFFFF3CD"/>
      </patternFill>
    </fill>
    <fill>
      <patternFill patternType="solid">
        <fgColor rgb="FF1F3552"/>
        <bgColor rgb="FF003366"/>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2"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9" fillId="2"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false" applyProtection="false">
      <alignment horizontal="general" vertical="bottom" textRotation="0" wrapText="false" indent="0" shrinkToFit="false"/>
      <protection locked="true" hidden="false"/>
    </xf>
    <xf numFmtId="168" fontId="9" fillId="2"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right"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right" vertical="bottom" textRotation="0" wrapText="false" indent="0" shrinkToFit="false"/>
      <protection locked="true" hidden="false"/>
    </xf>
    <xf numFmtId="164" fontId="9" fillId="2" borderId="2"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bottom" textRotation="0" wrapText="true" indent="0" shrinkToFit="false"/>
      <protection locked="true" hidden="false"/>
    </xf>
    <xf numFmtId="169" fontId="7" fillId="0" borderId="1"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8" fontId="7" fillId="2"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right"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9C0006"/>
        <sz val="10"/>
      </font>
      <fill>
        <patternFill>
          <bgColor rgb="FFFBD5D5"/>
        </patternFill>
      </fill>
    </dxf>
    <dxf>
      <font>
        <name val="Arial"/>
        <charset val="1"/>
        <family val="0"/>
        <color rgb="FF9C0006"/>
        <sz val="10"/>
      </font>
      <fill>
        <patternFill>
          <bgColor rgb="FFFBD5D5"/>
        </patternFill>
      </fill>
    </dxf>
    <dxf>
      <fill>
        <patternFill>
          <bgColor rgb="FFFFF3CD"/>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3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2CC"/>
      <rgbColor rgb="FF99CCFF"/>
      <rgbColor rgb="FFFF99CC"/>
      <rgbColor rgb="FFCC99FF"/>
      <rgbColor rgb="FFFBD5D5"/>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F355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6" min="2" style="0" width="18"/>
  </cols>
  <sheetData>
    <row r="1" customFormat="false" ht="17.35"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15" hidden="false" customHeight="true" outlineLevel="0" collapsed="false">
      <c r="A4" s="3" t="s">
        <v>2</v>
      </c>
      <c r="B4" s="3"/>
      <c r="C4" s="3"/>
      <c r="D4" s="3"/>
      <c r="E4" s="3"/>
      <c r="F4" s="3"/>
    </row>
    <row r="5" customFormat="false" ht="27.75" hidden="false" customHeight="true" outlineLevel="0" collapsed="false">
      <c r="A5" s="4" t="s">
        <v>3</v>
      </c>
      <c r="B5" s="4"/>
      <c r="C5" s="4"/>
      <c r="D5" s="4"/>
      <c r="E5" s="4"/>
      <c r="F5" s="4"/>
    </row>
    <row r="7" customFormat="false" ht="15" hidden="false" customHeight="true" outlineLevel="0" collapsed="false">
      <c r="A7" s="3" t="s">
        <v>4</v>
      </c>
      <c r="B7" s="3"/>
      <c r="C7" s="3"/>
      <c r="D7" s="3"/>
      <c r="E7" s="3"/>
      <c r="F7" s="3"/>
    </row>
    <row r="8" customFormat="false" ht="27.75" hidden="false" customHeight="true" outlineLevel="0" collapsed="false">
      <c r="A8" s="4" t="s">
        <v>5</v>
      </c>
      <c r="B8" s="4"/>
      <c r="C8" s="4"/>
      <c r="D8" s="4"/>
      <c r="E8" s="4"/>
      <c r="F8" s="4"/>
    </row>
    <row r="9" customFormat="false" ht="27.75" hidden="false" customHeight="true" outlineLevel="0" collapsed="false">
      <c r="A9" s="4" t="s">
        <v>6</v>
      </c>
      <c r="B9" s="4"/>
      <c r="C9" s="4"/>
      <c r="D9" s="4"/>
      <c r="E9" s="4"/>
      <c r="F9" s="4"/>
    </row>
    <row r="11" customFormat="false" ht="15" hidden="false" customHeight="true" outlineLevel="0" collapsed="false">
      <c r="A11" s="3" t="s">
        <v>7</v>
      </c>
      <c r="B11" s="3"/>
      <c r="C11" s="3"/>
      <c r="D11" s="3"/>
      <c r="E11" s="3"/>
      <c r="F11" s="3"/>
    </row>
    <row r="12" customFormat="false" ht="27.75" hidden="false" customHeight="true" outlineLevel="0" collapsed="false">
      <c r="A12" s="4" t="s">
        <v>8</v>
      </c>
      <c r="B12" s="4"/>
      <c r="C12" s="4"/>
      <c r="D12" s="4"/>
      <c r="E12" s="4"/>
      <c r="F12" s="4"/>
    </row>
    <row r="14" customFormat="false" ht="15" hidden="false" customHeight="true" outlineLevel="0" collapsed="false">
      <c r="A14" s="3" t="s">
        <v>9</v>
      </c>
      <c r="B14" s="3"/>
      <c r="C14" s="3"/>
      <c r="D14" s="3"/>
      <c r="E14" s="3"/>
      <c r="F14" s="3"/>
    </row>
    <row r="15" customFormat="false" ht="27.75" hidden="false" customHeight="true" outlineLevel="0" collapsed="false">
      <c r="A15" s="4" t="s">
        <v>10</v>
      </c>
      <c r="B15" s="4"/>
      <c r="C15" s="4"/>
      <c r="D15" s="4"/>
      <c r="E15" s="4"/>
      <c r="F15" s="4"/>
    </row>
    <row r="16" customFormat="false" ht="27.75" hidden="false" customHeight="true" outlineLevel="0" collapsed="false">
      <c r="A16" s="4" t="s">
        <v>11</v>
      </c>
      <c r="B16" s="4"/>
      <c r="C16" s="4"/>
      <c r="D16" s="4"/>
      <c r="E16" s="4"/>
      <c r="F16" s="4"/>
    </row>
    <row r="17" customFormat="false" ht="27.75" hidden="false" customHeight="true" outlineLevel="0" collapsed="false">
      <c r="A17" s="4" t="s">
        <v>12</v>
      </c>
      <c r="B17" s="4"/>
      <c r="C17" s="4"/>
      <c r="D17" s="4"/>
      <c r="E17" s="4"/>
      <c r="F17" s="4"/>
    </row>
    <row r="18" customFormat="false" ht="27.75" hidden="false" customHeight="true" outlineLevel="0" collapsed="false">
      <c r="A18" s="4" t="s">
        <v>13</v>
      </c>
      <c r="B18" s="4"/>
      <c r="C18" s="4"/>
      <c r="D18" s="4"/>
      <c r="E18" s="4"/>
      <c r="F18" s="4"/>
    </row>
    <row r="20" customFormat="false" ht="15" hidden="false" customHeight="true" outlineLevel="0" collapsed="false">
      <c r="A20" s="3" t="s">
        <v>14</v>
      </c>
      <c r="B20" s="3"/>
      <c r="C20" s="3"/>
      <c r="D20" s="3"/>
      <c r="E20" s="3"/>
      <c r="F20" s="3"/>
    </row>
    <row r="21" customFormat="false" ht="27.75" hidden="false" customHeight="true" outlineLevel="0" collapsed="false">
      <c r="A21" s="4" t="s">
        <v>15</v>
      </c>
      <c r="B21" s="4"/>
      <c r="C21" s="4"/>
      <c r="D21" s="4"/>
      <c r="E21" s="4"/>
      <c r="F21" s="4"/>
    </row>
    <row r="22" customFormat="false" ht="27.75" hidden="false" customHeight="true" outlineLevel="0" collapsed="false">
      <c r="A22" s="4" t="s">
        <v>16</v>
      </c>
      <c r="B22" s="4"/>
      <c r="C22" s="4"/>
      <c r="D22" s="4"/>
      <c r="E22" s="4"/>
      <c r="F22" s="4"/>
    </row>
    <row r="24" customFormat="false" ht="15" hidden="false" customHeight="true" outlineLevel="0" collapsed="false">
      <c r="A24" s="3" t="s">
        <v>17</v>
      </c>
      <c r="B24" s="3"/>
      <c r="C24" s="3"/>
      <c r="D24" s="3"/>
      <c r="E24" s="3"/>
      <c r="F24" s="3"/>
    </row>
    <row r="25" customFormat="false" ht="27.75" hidden="false" customHeight="true" outlineLevel="0" collapsed="false">
      <c r="A25" s="4" t="s">
        <v>18</v>
      </c>
      <c r="B25" s="4"/>
      <c r="C25" s="4"/>
      <c r="D25" s="4"/>
      <c r="E25" s="4"/>
      <c r="F25" s="4"/>
    </row>
    <row r="27" customFormat="false" ht="15" hidden="false" customHeight="true" outlineLevel="0" collapsed="false">
      <c r="A27" s="3" t="s">
        <v>19</v>
      </c>
      <c r="B27" s="3"/>
      <c r="C27" s="3"/>
      <c r="D27" s="3"/>
      <c r="E27" s="3"/>
      <c r="F27" s="3"/>
    </row>
    <row r="28" customFormat="false" ht="27.75" hidden="false" customHeight="true" outlineLevel="0" collapsed="false">
      <c r="A28" s="4" t="s">
        <v>20</v>
      </c>
      <c r="B28" s="4"/>
      <c r="C28" s="4"/>
      <c r="D28" s="4"/>
      <c r="E28" s="4"/>
      <c r="F28" s="4"/>
    </row>
  </sheetData>
  <mergeCells count="21">
    <mergeCell ref="A1:H1"/>
    <mergeCell ref="A2:H2"/>
    <mergeCell ref="A4:F4"/>
    <mergeCell ref="A5:F5"/>
    <mergeCell ref="A7:F7"/>
    <mergeCell ref="A8:F8"/>
    <mergeCell ref="A9:F9"/>
    <mergeCell ref="A11:F11"/>
    <mergeCell ref="A12:F12"/>
    <mergeCell ref="A14:F14"/>
    <mergeCell ref="A15:F15"/>
    <mergeCell ref="A16:F16"/>
    <mergeCell ref="A17:F17"/>
    <mergeCell ref="A18:F18"/>
    <mergeCell ref="A20:F20"/>
    <mergeCell ref="A21:F21"/>
    <mergeCell ref="A22:F22"/>
    <mergeCell ref="A24:F24"/>
    <mergeCell ref="A25:F25"/>
    <mergeCell ref="A27:F27"/>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70"/>
  </cols>
  <sheetData>
    <row r="1" customFormat="false" ht="17.35" hidden="false" customHeight="false" outlineLevel="0" collapsed="false">
      <c r="A1" s="1" t="s">
        <v>21</v>
      </c>
      <c r="B1" s="1"/>
      <c r="C1" s="1"/>
      <c r="D1" s="1"/>
      <c r="E1" s="1"/>
      <c r="F1" s="1"/>
      <c r="G1" s="1"/>
      <c r="H1" s="1"/>
    </row>
    <row r="2" customFormat="false" ht="15" hidden="false" customHeight="false" outlineLevel="0" collapsed="false">
      <c r="A2" s="2" t="s">
        <v>22</v>
      </c>
      <c r="B2" s="2"/>
      <c r="C2" s="2"/>
      <c r="D2" s="2"/>
      <c r="E2" s="2"/>
      <c r="F2" s="2"/>
      <c r="G2" s="2"/>
      <c r="H2" s="2"/>
    </row>
    <row r="4" customFormat="false" ht="15" hidden="false" customHeight="false" outlineLevel="0" collapsed="false">
      <c r="A4" s="5" t="s">
        <v>23</v>
      </c>
      <c r="B4" s="6" t="n">
        <v>0.02</v>
      </c>
      <c r="C4" s="7" t="s">
        <v>24</v>
      </c>
    </row>
    <row r="6" customFormat="false" ht="15" hidden="false" customHeight="false" outlineLevel="0" collapsed="false">
      <c r="A6" s="5" t="s">
        <v>25</v>
      </c>
      <c r="B6" s="8" t="s">
        <v>26</v>
      </c>
    </row>
    <row r="7" customFormat="false" ht="15" hidden="false" customHeight="false" outlineLevel="0" collapsed="false">
      <c r="A7" s="9" t="s">
        <v>27</v>
      </c>
      <c r="B7" s="10" t="n">
        <v>1</v>
      </c>
      <c r="C7" s="7" t="s">
        <v>28</v>
      </c>
    </row>
    <row r="8" customFormat="false" ht="15" hidden="false" customHeight="false" outlineLevel="0" collapsed="false">
      <c r="A8" s="9" t="s">
        <v>29</v>
      </c>
      <c r="B8" s="11" t="n">
        <v>50000</v>
      </c>
    </row>
    <row r="9" customFormat="false" ht="15" hidden="false" customHeight="false" outlineLevel="0" collapsed="false">
      <c r="A9" s="9" t="s">
        <v>30</v>
      </c>
      <c r="B9" s="11" t="n">
        <v>50000</v>
      </c>
      <c r="C9" s="7" t="s">
        <v>31</v>
      </c>
    </row>
    <row r="11" customFormat="false" ht="15" hidden="false" customHeight="false" outlineLevel="0" collapsed="false">
      <c r="A11" s="5" t="s">
        <v>32</v>
      </c>
      <c r="B11" s="8" t="s">
        <v>33</v>
      </c>
    </row>
    <row r="12" customFormat="false" ht="15" hidden="false" customHeight="false" outlineLevel="0" collapsed="false">
      <c r="A12" s="9" t="s">
        <v>27</v>
      </c>
      <c r="B12" s="12" t="n">
        <v>0.1</v>
      </c>
      <c r="C12" s="7" t="s">
        <v>34</v>
      </c>
    </row>
    <row r="13" customFormat="false" ht="15" hidden="false" customHeight="false" outlineLevel="0" collapsed="false">
      <c r="A13" s="9" t="s">
        <v>29</v>
      </c>
      <c r="B13" s="11" t="n">
        <v>3000</v>
      </c>
      <c r="C13" s="7" t="s">
        <v>35</v>
      </c>
    </row>
    <row r="14" customFormat="false" ht="15" hidden="false" customHeight="false" outlineLevel="0" collapsed="false">
      <c r="A14" s="9" t="s">
        <v>30</v>
      </c>
      <c r="B14" s="11" t="n">
        <v>2000</v>
      </c>
      <c r="C14" s="7" t="s">
        <v>36</v>
      </c>
    </row>
    <row r="17" customFormat="false" ht="15" hidden="false" customHeight="false" outlineLevel="0" collapsed="false">
      <c r="A17" s="5" t="s">
        <v>37</v>
      </c>
      <c r="B17" s="13" t="n">
        <f aca="false">2*Settings!$B$7/Settings!$B$4</f>
        <v>100</v>
      </c>
      <c r="C17" s="7" t="s">
        <v>38</v>
      </c>
    </row>
    <row r="18" customFormat="false" ht="15" hidden="false" customHeight="false" outlineLevel="0" collapsed="false">
      <c r="A18" s="0" t="s">
        <v>39</v>
      </c>
      <c r="B18" s="11" t="n">
        <v>4</v>
      </c>
      <c r="C18" s="7" t="s">
        <v>40</v>
      </c>
    </row>
    <row r="19" customFormat="false" ht="15" hidden="false" customHeight="false" outlineLevel="0" collapsed="false">
      <c r="A19" s="5" t="s">
        <v>41</v>
      </c>
      <c r="B19" s="14" t="n">
        <f aca="false">IF(B18="",B17,B18)</f>
        <v>4</v>
      </c>
    </row>
    <row r="21" customFormat="false" ht="15" hidden="false" customHeight="false" outlineLevel="0" collapsed="false">
      <c r="A21" s="5" t="s">
        <v>42</v>
      </c>
      <c r="B21" s="15" t="str">
        <f aca="false">IF(Settings!$B$14&gt;=Settings!$B$19,"None — the two scales meet","WARNING: nothing can weigh "&amp;TEXT(Settings!$B$14,"#,##0")&amp;" to "&amp;TEXT(Settings!$B$19,"#,##0")&amp;" g")</f>
        <v>None — the two scales meet</v>
      </c>
      <c r="C21" s="15"/>
      <c r="D21" s="15"/>
      <c r="E21" s="15"/>
    </row>
  </sheetData>
  <mergeCells count="3">
    <mergeCell ref="A1:H1"/>
    <mergeCell ref="A2:H2"/>
    <mergeCell ref="B21:E2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6"/>
    <col collapsed="false" customWidth="true" hidden="false" outlineLevel="0" max="4" min="4" style="0" width="11"/>
    <col collapsed="false" customWidth="true" hidden="false" outlineLevel="0" max="5" min="5" style="0" width="16"/>
    <col collapsed="false" customWidth="true" hidden="false" outlineLevel="0" max="6" min="6" style="0" width="18"/>
    <col collapsed="false" customWidth="true" hidden="false" outlineLevel="0" max="7" min="7" style="0" width="13"/>
    <col collapsed="false" customWidth="true" hidden="false" outlineLevel="0" max="8" min="8" style="0" width="46"/>
  </cols>
  <sheetData>
    <row r="1" customFormat="false" ht="17.35" hidden="false" customHeight="false" outlineLevel="0" collapsed="false">
      <c r="A1" s="1" t="s">
        <v>43</v>
      </c>
      <c r="B1" s="1"/>
      <c r="C1" s="1"/>
      <c r="D1" s="1"/>
      <c r="E1" s="1"/>
      <c r="F1" s="1"/>
      <c r="G1" s="1"/>
      <c r="H1" s="1"/>
    </row>
    <row r="2" customFormat="false" ht="15" hidden="false" customHeight="false" outlineLevel="0" collapsed="false">
      <c r="A2" s="2" t="s">
        <v>44</v>
      </c>
      <c r="B2" s="2"/>
      <c r="C2" s="2"/>
      <c r="D2" s="2"/>
      <c r="E2" s="2"/>
      <c r="F2" s="2"/>
      <c r="G2" s="2"/>
      <c r="H2" s="2"/>
    </row>
    <row r="3" customFormat="false" ht="15" hidden="false" customHeight="false" outlineLevel="0" collapsed="false">
      <c r="A3" s="16" t="s">
        <v>45</v>
      </c>
      <c r="B3" s="16"/>
      <c r="C3" s="17" t="s">
        <v>46</v>
      </c>
      <c r="D3" s="2" t="s">
        <v>47</v>
      </c>
      <c r="E3" s="2"/>
      <c r="F3" s="2"/>
      <c r="G3" s="2"/>
      <c r="H3" s="2"/>
    </row>
    <row r="4" customFormat="false" ht="15" hidden="false" customHeight="false" outlineLevel="0" collapsed="false">
      <c r="A4" s="16" t="s">
        <v>48</v>
      </c>
      <c r="B4" s="16"/>
      <c r="C4" s="18" t="n">
        <v>3200</v>
      </c>
      <c r="D4" s="2" t="s">
        <v>49</v>
      </c>
      <c r="E4" s="2"/>
      <c r="F4" s="2"/>
      <c r="G4" s="2"/>
      <c r="H4" s="2"/>
    </row>
    <row r="5" customFormat="false" ht="15" hidden="false" customHeight="false" outlineLevel="0" collapsed="false">
      <c r="A5" s="16" t="s">
        <v>50</v>
      </c>
      <c r="B5" s="16"/>
      <c r="C5" s="8" t="s">
        <v>51</v>
      </c>
      <c r="D5" s="16" t="s">
        <v>52</v>
      </c>
      <c r="E5" s="16"/>
      <c r="F5" s="19" t="s">
        <v>53</v>
      </c>
      <c r="G5" s="19"/>
      <c r="H5" s="19"/>
    </row>
    <row r="6" customFormat="false" ht="15" hidden="false" customHeight="false" outlineLevel="0" collapsed="false">
      <c r="A6" s="16" t="s">
        <v>54</v>
      </c>
      <c r="B6" s="16"/>
      <c r="C6" s="8"/>
      <c r="D6" s="16" t="s">
        <v>55</v>
      </c>
      <c r="E6" s="16"/>
      <c r="F6" s="19"/>
      <c r="G6" s="19"/>
      <c r="H6" s="19"/>
    </row>
    <row r="7" customFormat="false" ht="15" hidden="false" customHeight="false" outlineLevel="0" collapsed="false">
      <c r="A7" s="16" t="s">
        <v>56</v>
      </c>
      <c r="B7" s="16"/>
      <c r="C7" s="8"/>
      <c r="D7" s="2" t="s">
        <v>57</v>
      </c>
      <c r="E7" s="2"/>
      <c r="F7" s="2"/>
      <c r="G7" s="2"/>
      <c r="H7" s="2"/>
    </row>
    <row r="8" customFormat="false" ht="23.85" hidden="false" customHeight="false" outlineLevel="0" collapsed="false">
      <c r="A8" s="20" t="s">
        <v>58</v>
      </c>
      <c r="B8" s="20" t="s">
        <v>59</v>
      </c>
      <c r="C8" s="20" t="s">
        <v>60</v>
      </c>
      <c r="D8" s="20" t="s">
        <v>61</v>
      </c>
      <c r="E8" s="20" t="s">
        <v>62</v>
      </c>
      <c r="F8" s="20" t="s">
        <v>63</v>
      </c>
      <c r="G8" s="20" t="s">
        <v>64</v>
      </c>
      <c r="H8" s="20" t="s">
        <v>65</v>
      </c>
    </row>
    <row r="9" customFormat="false" ht="15" hidden="false" customHeight="false" outlineLevel="0" collapsed="false">
      <c r="A9" s="21" t="n">
        <f aca="false">IF($B9="","",1)</f>
        <v>1</v>
      </c>
      <c r="B9" s="22" t="s">
        <v>66</v>
      </c>
      <c r="C9" s="23" t="n">
        <v>15</v>
      </c>
      <c r="D9" s="24" t="n">
        <f aca="false">IF($B9="","",$C9/1000)</f>
        <v>0.015</v>
      </c>
      <c r="E9" s="25" t="n">
        <f aca="false">IF($B9="","",$D9*$C$4)</f>
        <v>48</v>
      </c>
      <c r="F9" s="26" t="str">
        <f aca="false">IF($B9="","",IF($C9=0,"Listed — not weighed",IF($E9&lt;0,"NEITHER — negative weight",IF($E9&gt;=Settings!$B$19,Settings!$B$6,IF($E9&gt;Settings!$B$14,"NEITHER — over bench capacity",IF($E9&gt;=2*Settings!$B$12,Settings!$B$11,"NEITHER — under bench resolution"))))))</f>
        <v>Main scale</v>
      </c>
      <c r="G9" s="25" t="n">
        <f aca="false">IF($B9="","",IF($F9=Settings!$B$6,MAX(2*Settings!$B$7,Settings!$B$4*$E9),IF($F9=Settings!$B$11,MAX(2*Settings!$B$12,Settings!$B$4*$E9),"")))</f>
        <v>2</v>
      </c>
      <c r="H9" s="27" t="str">
        <f aca="false">IF($B9="","",IF(LEFT($F9,6)="Listed","Quantity 0: shown on the station as a reminder, not weighed. Give it a weight to weigh it.",IF(LEFT($F9,7)="NEITHER","Cannot be weighed — split it, premix it, or raise the batch size",IF($G9&gt;Settings!$B$4*$E9+0.0001,"Held to the scale's resolution, not "&amp;TEXT(Settings!$B$4,"0%"),""))))</f>
        <v>Held to the scale's resolution, not 2%</v>
      </c>
    </row>
    <row r="10" customFormat="false" ht="15" hidden="false" customHeight="false" outlineLevel="0" collapsed="false">
      <c r="A10" s="21" t="str">
        <f aca="false">IF($B10="","",2)</f>
        <v/>
      </c>
      <c r="B10" s="22"/>
      <c r="C10" s="23"/>
      <c r="D10" s="24" t="str">
        <f aca="false">IF($B10="","",$C10/1000)</f>
        <v/>
      </c>
      <c r="E10" s="25" t="str">
        <f aca="false">IF($B10="","",$D10*$C$4)</f>
        <v/>
      </c>
      <c r="F10" s="26" t="str">
        <f aca="false">IF($B10="","",IF($C10=0,"Listed — not weighed",IF($E10&lt;0,"NEITHER — negative weight",IF($E10&gt;=Settings!$B$19,Settings!$B$6,IF($E10&gt;Settings!$B$14,"NEITHER — over bench capacity",IF($E10&gt;=2*Settings!$B$12,Settings!$B$11,"NEITHER — under bench resolution"))))))</f>
        <v/>
      </c>
      <c r="G10" s="25" t="str">
        <f aca="false">IF($B10="","",IF($F10=Settings!$B$6,MAX(2*Settings!$B$7,Settings!$B$4*$E10),IF($F10=Settings!$B$11,MAX(2*Settings!$B$12,Settings!$B$4*$E10),"")))</f>
        <v/>
      </c>
      <c r="H10" s="27" t="str">
        <f aca="false">IF($B10="","",IF(LEFT($F10,6)="Listed","Quantity 0: shown on the station as a reminder, not weighed. Give it a weight to weigh it.",IF(LEFT($F10,7)="NEITHER","Cannot be weighed — split it, premix it, or raise the batch size",IF($G10&gt;Settings!$B$4*$E10+0.0001,"Held to the scale's resolution, not "&amp;TEXT(Settings!$B$4,"0%"),""))))</f>
        <v/>
      </c>
    </row>
    <row r="11" customFormat="false" ht="15" hidden="false" customHeight="false" outlineLevel="0" collapsed="false">
      <c r="A11" s="21" t="str">
        <f aca="false">IF($B11="","",3)</f>
        <v/>
      </c>
      <c r="B11" s="22"/>
      <c r="C11" s="23"/>
      <c r="D11" s="24" t="str">
        <f aca="false">IF($B11="","",$C11/1000)</f>
        <v/>
      </c>
      <c r="E11" s="25" t="str">
        <f aca="false">IF($B11="","",$D11*$C$4)</f>
        <v/>
      </c>
      <c r="F11" s="26" t="str">
        <f aca="false">IF($B11="","",IF($C11=0,"Listed — not weighed",IF($E11&lt;0,"NEITHER — negative weight",IF($E11&gt;=Settings!$B$19,Settings!$B$6,IF($E11&gt;Settings!$B$14,"NEITHER — over bench capacity",IF($E11&gt;=2*Settings!$B$12,Settings!$B$11,"NEITHER — under bench resolution"))))))</f>
        <v/>
      </c>
      <c r="G11" s="25" t="str">
        <f aca="false">IF($B11="","",IF($F11=Settings!$B$6,MAX(2*Settings!$B$7,Settings!$B$4*$E11),IF($F11=Settings!$B$11,MAX(2*Settings!$B$12,Settings!$B$4*$E11),"")))</f>
        <v/>
      </c>
      <c r="H11" s="27" t="str">
        <f aca="false">IF($B11="","",IF(LEFT($F11,6)="Listed","Quantity 0: shown on the station as a reminder, not weighed. Give it a weight to weigh it.",IF(LEFT($F11,7)="NEITHER","Cannot be weighed — split it, premix it, or raise the batch size",IF($G11&gt;Settings!$B$4*$E11+0.0001,"Held to the scale's resolution, not "&amp;TEXT(Settings!$B$4,"0%"),""))))</f>
        <v/>
      </c>
    </row>
    <row r="12" customFormat="false" ht="15" hidden="false" customHeight="false" outlineLevel="0" collapsed="false">
      <c r="A12" s="21" t="str">
        <f aca="false">IF($B12="","",4)</f>
        <v/>
      </c>
      <c r="B12" s="22"/>
      <c r="C12" s="23"/>
      <c r="D12" s="24" t="str">
        <f aca="false">IF($B12="","",$C12/1000)</f>
        <v/>
      </c>
      <c r="E12" s="25" t="str">
        <f aca="false">IF($B12="","",$D12*$C$4)</f>
        <v/>
      </c>
      <c r="F12" s="26" t="str">
        <f aca="false">IF($B12="","",IF($C12=0,"Listed — not weighed",IF($E12&lt;0,"NEITHER — negative weight",IF($E12&gt;=Settings!$B$19,Settings!$B$6,IF($E12&gt;Settings!$B$14,"NEITHER — over bench capacity",IF($E12&gt;=2*Settings!$B$12,Settings!$B$11,"NEITHER — under bench resolution"))))))</f>
        <v/>
      </c>
      <c r="G12" s="25" t="str">
        <f aca="false">IF($B12="","",IF($F12=Settings!$B$6,MAX(2*Settings!$B$7,Settings!$B$4*$E12),IF($F12=Settings!$B$11,MAX(2*Settings!$B$12,Settings!$B$4*$E12),"")))</f>
        <v/>
      </c>
      <c r="H12" s="27" t="str">
        <f aca="false">IF($B12="","",IF(LEFT($F12,6)="Listed","Quantity 0: shown on the station as a reminder, not weighed. Give it a weight to weigh it.",IF(LEFT($F12,7)="NEITHER","Cannot be weighed — split it, premix it, or raise the batch size",IF($G12&gt;Settings!$B$4*$E12+0.0001,"Held to the scale's resolution, not "&amp;TEXT(Settings!$B$4,"0%"),""))))</f>
        <v/>
      </c>
    </row>
    <row r="13" customFormat="false" ht="15" hidden="false" customHeight="false" outlineLevel="0" collapsed="false">
      <c r="A13" s="21" t="str">
        <f aca="false">IF($B13="","",5)</f>
        <v/>
      </c>
      <c r="B13" s="22"/>
      <c r="C13" s="23"/>
      <c r="D13" s="24" t="str">
        <f aca="false">IF($B13="","",$C13/1000)</f>
        <v/>
      </c>
      <c r="E13" s="25" t="str">
        <f aca="false">IF($B13="","",$D13*$C$4)</f>
        <v/>
      </c>
      <c r="F13" s="26" t="str">
        <f aca="false">IF($B13="","",IF($C13=0,"Listed — not weighed",IF($E13&lt;0,"NEITHER — negative weight",IF($E13&gt;=Settings!$B$19,Settings!$B$6,IF($E13&gt;Settings!$B$14,"NEITHER — over bench capacity",IF($E13&gt;=2*Settings!$B$12,Settings!$B$11,"NEITHER — under bench resolution"))))))</f>
        <v/>
      </c>
      <c r="G13" s="25" t="str">
        <f aca="false">IF($B13="","",IF($F13=Settings!$B$6,MAX(2*Settings!$B$7,Settings!$B$4*$E13),IF($F13=Settings!$B$11,MAX(2*Settings!$B$12,Settings!$B$4*$E13),"")))</f>
        <v/>
      </c>
      <c r="H13" s="27" t="str">
        <f aca="false">IF($B13="","",IF(LEFT($F13,6)="Listed","Quantity 0: shown on the station as a reminder, not weighed. Give it a weight to weigh it.",IF(LEFT($F13,7)="NEITHER","Cannot be weighed — split it, premix it, or raise the batch size",IF($G13&gt;Settings!$B$4*$E13+0.0001,"Held to the scale's resolution, not "&amp;TEXT(Settings!$B$4,"0%"),""))))</f>
        <v/>
      </c>
    </row>
    <row r="14" customFormat="false" ht="15" hidden="false" customHeight="false" outlineLevel="0" collapsed="false">
      <c r="A14" s="21" t="str">
        <f aca="false">IF($B14="","",6)</f>
        <v/>
      </c>
      <c r="B14" s="22"/>
      <c r="C14" s="23"/>
      <c r="D14" s="24" t="str">
        <f aca="false">IF($B14="","",$C14/1000)</f>
        <v/>
      </c>
      <c r="E14" s="25" t="str">
        <f aca="false">IF($B14="","",$D14*$C$4)</f>
        <v/>
      </c>
      <c r="F14" s="26" t="str">
        <f aca="false">IF($B14="","",IF($C14=0,"Listed — not weighed",IF($E14&lt;0,"NEITHER — negative weight",IF($E14&gt;=Settings!$B$19,Settings!$B$6,IF($E14&gt;Settings!$B$14,"NEITHER — over bench capacity",IF($E14&gt;=2*Settings!$B$12,Settings!$B$11,"NEITHER — under bench resolution"))))))</f>
        <v/>
      </c>
      <c r="G14" s="25" t="str">
        <f aca="false">IF($B14="","",IF($F14=Settings!$B$6,MAX(2*Settings!$B$7,Settings!$B$4*$E14),IF($F14=Settings!$B$11,MAX(2*Settings!$B$12,Settings!$B$4*$E14),"")))</f>
        <v/>
      </c>
      <c r="H14" s="27" t="str">
        <f aca="false">IF($B14="","",IF(LEFT($F14,6)="Listed","Quantity 0: shown on the station as a reminder, not weighed. Give it a weight to weigh it.",IF(LEFT($F14,7)="NEITHER","Cannot be weighed — split it, premix it, or raise the batch size",IF($G14&gt;Settings!$B$4*$E14+0.0001,"Held to the scale's resolution, not "&amp;TEXT(Settings!$B$4,"0%"),""))))</f>
        <v/>
      </c>
    </row>
    <row r="15" customFormat="false" ht="15" hidden="false" customHeight="false" outlineLevel="0" collapsed="false">
      <c r="A15" s="21" t="str">
        <f aca="false">IF($B15="","",7)</f>
        <v/>
      </c>
      <c r="B15" s="22"/>
      <c r="C15" s="23"/>
      <c r="D15" s="24" t="str">
        <f aca="false">IF($B15="","",$C15/1000)</f>
        <v/>
      </c>
      <c r="E15" s="25" t="str">
        <f aca="false">IF($B15="","",$D15*$C$4)</f>
        <v/>
      </c>
      <c r="F15" s="26" t="str">
        <f aca="false">IF($B15="","",IF($C15=0,"Listed — not weighed",IF($E15&lt;0,"NEITHER — negative weight",IF($E15&gt;=Settings!$B$19,Settings!$B$6,IF($E15&gt;Settings!$B$14,"NEITHER — over bench capacity",IF($E15&gt;=2*Settings!$B$12,Settings!$B$11,"NEITHER — under bench resolution"))))))</f>
        <v/>
      </c>
      <c r="G15" s="25" t="str">
        <f aca="false">IF($B15="","",IF($F15=Settings!$B$6,MAX(2*Settings!$B$7,Settings!$B$4*$E15),IF($F15=Settings!$B$11,MAX(2*Settings!$B$12,Settings!$B$4*$E15),"")))</f>
        <v/>
      </c>
      <c r="H15" s="27" t="str">
        <f aca="false">IF($B15="","",IF(LEFT($F15,6)="Listed","Quantity 0: shown on the station as a reminder, not weighed. Give it a weight to weigh it.",IF(LEFT($F15,7)="NEITHER","Cannot be weighed — split it, premix it, or raise the batch size",IF($G15&gt;Settings!$B$4*$E15+0.0001,"Held to the scale's resolution, not "&amp;TEXT(Settings!$B$4,"0%"),""))))</f>
        <v/>
      </c>
    </row>
    <row r="16" customFormat="false" ht="15" hidden="false" customHeight="false" outlineLevel="0" collapsed="false">
      <c r="A16" s="21" t="str">
        <f aca="false">IF($B16="","",8)</f>
        <v/>
      </c>
      <c r="B16" s="22"/>
      <c r="C16" s="23"/>
      <c r="D16" s="24" t="str">
        <f aca="false">IF($B16="","",$C16/1000)</f>
        <v/>
      </c>
      <c r="E16" s="25" t="str">
        <f aca="false">IF($B16="","",$D16*$C$4)</f>
        <v/>
      </c>
      <c r="F16" s="26" t="str">
        <f aca="false">IF($B16="","",IF($C16=0,"Listed — not weighed",IF($E16&lt;0,"NEITHER — negative weight",IF($E16&gt;=Settings!$B$19,Settings!$B$6,IF($E16&gt;Settings!$B$14,"NEITHER — over bench capacity",IF($E16&gt;=2*Settings!$B$12,Settings!$B$11,"NEITHER — under bench resolution"))))))</f>
        <v/>
      </c>
      <c r="G16" s="25" t="str">
        <f aca="false">IF($B16="","",IF($F16=Settings!$B$6,MAX(2*Settings!$B$7,Settings!$B$4*$E16),IF($F16=Settings!$B$11,MAX(2*Settings!$B$12,Settings!$B$4*$E16),"")))</f>
        <v/>
      </c>
      <c r="H16" s="27" t="str">
        <f aca="false">IF($B16="","",IF(LEFT($F16,6)="Listed","Quantity 0: shown on the station as a reminder, not weighed. Give it a weight to weigh it.",IF(LEFT($F16,7)="NEITHER","Cannot be weighed — split it, premix it, or raise the batch size",IF($G16&gt;Settings!$B$4*$E16+0.0001,"Held to the scale's resolution, not "&amp;TEXT(Settings!$B$4,"0%"),""))))</f>
        <v/>
      </c>
    </row>
    <row r="17" customFormat="false" ht="15" hidden="false" customHeight="false" outlineLevel="0" collapsed="false">
      <c r="A17" s="21" t="str">
        <f aca="false">IF($B17="","",9)</f>
        <v/>
      </c>
      <c r="B17" s="22"/>
      <c r="C17" s="23"/>
      <c r="D17" s="24" t="str">
        <f aca="false">IF($B17="","",$C17/1000)</f>
        <v/>
      </c>
      <c r="E17" s="25" t="str">
        <f aca="false">IF($B17="","",$D17*$C$4)</f>
        <v/>
      </c>
      <c r="F17" s="26" t="str">
        <f aca="false">IF($B17="","",IF($C17=0,"Listed — not weighed",IF($E17&lt;0,"NEITHER — negative weight",IF($E17&gt;=Settings!$B$19,Settings!$B$6,IF($E17&gt;Settings!$B$14,"NEITHER — over bench capacity",IF($E17&gt;=2*Settings!$B$12,Settings!$B$11,"NEITHER — under bench resolution"))))))</f>
        <v/>
      </c>
      <c r="G17" s="25" t="str">
        <f aca="false">IF($B17="","",IF($F17=Settings!$B$6,MAX(2*Settings!$B$7,Settings!$B$4*$E17),IF($F17=Settings!$B$11,MAX(2*Settings!$B$12,Settings!$B$4*$E17),"")))</f>
        <v/>
      </c>
      <c r="H17" s="27" t="str">
        <f aca="false">IF($B17="","",IF(LEFT($F17,6)="Listed","Quantity 0: shown on the station as a reminder, not weighed. Give it a weight to weigh it.",IF(LEFT($F17,7)="NEITHER","Cannot be weighed — split it, premix it, or raise the batch size",IF($G17&gt;Settings!$B$4*$E17+0.0001,"Held to the scale's resolution, not "&amp;TEXT(Settings!$B$4,"0%"),""))))</f>
        <v/>
      </c>
    </row>
    <row r="18" customFormat="false" ht="15" hidden="false" customHeight="false" outlineLevel="0" collapsed="false">
      <c r="A18" s="21" t="str">
        <f aca="false">IF($B18="","",10)</f>
        <v/>
      </c>
      <c r="B18" s="22"/>
      <c r="C18" s="23"/>
      <c r="D18" s="24" t="str">
        <f aca="false">IF($B18="","",$C18/1000)</f>
        <v/>
      </c>
      <c r="E18" s="25" t="str">
        <f aca="false">IF($B18="","",$D18*$C$4)</f>
        <v/>
      </c>
      <c r="F18" s="26" t="str">
        <f aca="false">IF($B18="","",IF($C18=0,"Listed — not weighed",IF($E18&lt;0,"NEITHER — negative weight",IF($E18&gt;=Settings!$B$19,Settings!$B$6,IF($E18&gt;Settings!$B$14,"NEITHER — over bench capacity",IF($E18&gt;=2*Settings!$B$12,Settings!$B$11,"NEITHER — under bench resolution"))))))</f>
        <v/>
      </c>
      <c r="G18" s="25" t="str">
        <f aca="false">IF($B18="","",IF($F18=Settings!$B$6,MAX(2*Settings!$B$7,Settings!$B$4*$E18),IF($F18=Settings!$B$11,MAX(2*Settings!$B$12,Settings!$B$4*$E18),"")))</f>
        <v/>
      </c>
      <c r="H18" s="27" t="str">
        <f aca="false">IF($B18="","",IF(LEFT($F18,6)="Listed","Quantity 0: shown on the station as a reminder, not weighed. Give it a weight to weigh it.",IF(LEFT($F18,7)="NEITHER","Cannot be weighed — split it, premix it, or raise the batch size",IF($G18&gt;Settings!$B$4*$E18+0.0001,"Held to the scale's resolution, not "&amp;TEXT(Settings!$B$4,"0%"),""))))</f>
        <v/>
      </c>
    </row>
    <row r="19" customFormat="false" ht="15" hidden="false" customHeight="false" outlineLevel="0" collapsed="false">
      <c r="A19" s="21" t="str">
        <f aca="false">IF($B19="","",11)</f>
        <v/>
      </c>
      <c r="B19" s="22"/>
      <c r="C19" s="23"/>
      <c r="D19" s="24" t="str">
        <f aca="false">IF($B19="","",$C19/1000)</f>
        <v/>
      </c>
      <c r="E19" s="25" t="str">
        <f aca="false">IF($B19="","",$D19*$C$4)</f>
        <v/>
      </c>
      <c r="F19" s="26" t="str">
        <f aca="false">IF($B19="","",IF($C19=0,"Listed — not weighed",IF($E19&lt;0,"NEITHER — negative weight",IF($E19&gt;=Settings!$B$19,Settings!$B$6,IF($E19&gt;Settings!$B$14,"NEITHER — over bench capacity",IF($E19&gt;=2*Settings!$B$12,Settings!$B$11,"NEITHER — under bench resolution"))))))</f>
        <v/>
      </c>
      <c r="G19" s="25" t="str">
        <f aca="false">IF($B19="","",IF($F19=Settings!$B$6,MAX(2*Settings!$B$7,Settings!$B$4*$E19),IF($F19=Settings!$B$11,MAX(2*Settings!$B$12,Settings!$B$4*$E19),"")))</f>
        <v/>
      </c>
      <c r="H19" s="27" t="str">
        <f aca="false">IF($B19="","",IF(LEFT($F19,6)="Listed","Quantity 0: shown on the station as a reminder, not weighed. Give it a weight to weigh it.",IF(LEFT($F19,7)="NEITHER","Cannot be weighed — split it, premix it, or raise the batch size",IF($G19&gt;Settings!$B$4*$E19+0.0001,"Held to the scale's resolution, not "&amp;TEXT(Settings!$B$4,"0%"),""))))</f>
        <v/>
      </c>
    </row>
    <row r="20" customFormat="false" ht="15" hidden="false" customHeight="false" outlineLevel="0" collapsed="false">
      <c r="A20" s="21" t="str">
        <f aca="false">IF($B20="","",12)</f>
        <v/>
      </c>
      <c r="B20" s="22"/>
      <c r="C20" s="23"/>
      <c r="D20" s="24" t="str">
        <f aca="false">IF($B20="","",$C20/1000)</f>
        <v/>
      </c>
      <c r="E20" s="25" t="str">
        <f aca="false">IF($B20="","",$D20*$C$4)</f>
        <v/>
      </c>
      <c r="F20" s="26" t="str">
        <f aca="false">IF($B20="","",IF($C20=0,"Listed — not weighed",IF($E20&lt;0,"NEITHER — negative weight",IF($E20&gt;=Settings!$B$19,Settings!$B$6,IF($E20&gt;Settings!$B$14,"NEITHER — over bench capacity",IF($E20&gt;=2*Settings!$B$12,Settings!$B$11,"NEITHER — under bench resolution"))))))</f>
        <v/>
      </c>
      <c r="G20" s="25" t="str">
        <f aca="false">IF($B20="","",IF($F20=Settings!$B$6,MAX(2*Settings!$B$7,Settings!$B$4*$E20),IF($F20=Settings!$B$11,MAX(2*Settings!$B$12,Settings!$B$4*$E20),"")))</f>
        <v/>
      </c>
      <c r="H20" s="27" t="str">
        <f aca="false">IF($B20="","",IF(LEFT($F20,6)="Listed","Quantity 0: shown on the station as a reminder, not weighed. Give it a weight to weigh it.",IF(LEFT($F20,7)="NEITHER","Cannot be weighed — split it, premix it, or raise the batch size",IF($G20&gt;Settings!$B$4*$E20+0.0001,"Held to the scale's resolution, not "&amp;TEXT(Settings!$B$4,"0%"),""))))</f>
        <v/>
      </c>
    </row>
    <row r="21" customFormat="false" ht="15" hidden="false" customHeight="false" outlineLevel="0" collapsed="false">
      <c r="A21" s="21" t="str">
        <f aca="false">IF($B21="","",13)</f>
        <v/>
      </c>
      <c r="B21" s="22"/>
      <c r="C21" s="23"/>
      <c r="D21" s="24" t="str">
        <f aca="false">IF($B21="","",$C21/1000)</f>
        <v/>
      </c>
      <c r="E21" s="25" t="str">
        <f aca="false">IF($B21="","",$D21*$C$4)</f>
        <v/>
      </c>
      <c r="F21" s="26" t="str">
        <f aca="false">IF($B21="","",IF($C21=0,"Listed — not weighed",IF($E21&lt;0,"NEITHER — negative weight",IF($E21&gt;=Settings!$B$19,Settings!$B$6,IF($E21&gt;Settings!$B$14,"NEITHER — over bench capacity",IF($E21&gt;=2*Settings!$B$12,Settings!$B$11,"NEITHER — under bench resolution"))))))</f>
        <v/>
      </c>
      <c r="G21" s="25" t="str">
        <f aca="false">IF($B21="","",IF($F21=Settings!$B$6,MAX(2*Settings!$B$7,Settings!$B$4*$E21),IF($F21=Settings!$B$11,MAX(2*Settings!$B$12,Settings!$B$4*$E21),"")))</f>
        <v/>
      </c>
      <c r="H21" s="27" t="str">
        <f aca="false">IF($B21="","",IF(LEFT($F21,6)="Listed","Quantity 0: shown on the station as a reminder, not weighed. Give it a weight to weigh it.",IF(LEFT($F21,7)="NEITHER","Cannot be weighed — split it, premix it, or raise the batch size",IF($G21&gt;Settings!$B$4*$E21+0.0001,"Held to the scale's resolution, not "&amp;TEXT(Settings!$B$4,"0%"),""))))</f>
        <v/>
      </c>
    </row>
    <row r="22" customFormat="false" ht="15" hidden="false" customHeight="false" outlineLevel="0" collapsed="false">
      <c r="A22" s="21" t="str">
        <f aca="false">IF($B22="","",14)</f>
        <v/>
      </c>
      <c r="B22" s="22"/>
      <c r="C22" s="23"/>
      <c r="D22" s="24" t="str">
        <f aca="false">IF($B22="","",$C22/1000)</f>
        <v/>
      </c>
      <c r="E22" s="25" t="str">
        <f aca="false">IF($B22="","",$D22*$C$4)</f>
        <v/>
      </c>
      <c r="F22" s="26" t="str">
        <f aca="false">IF($B22="","",IF($C22=0,"Listed — not weighed",IF($E22&lt;0,"NEITHER — negative weight",IF($E22&gt;=Settings!$B$19,Settings!$B$6,IF($E22&gt;Settings!$B$14,"NEITHER — over bench capacity",IF($E22&gt;=2*Settings!$B$12,Settings!$B$11,"NEITHER — under bench resolution"))))))</f>
        <v/>
      </c>
      <c r="G22" s="25" t="str">
        <f aca="false">IF($B22="","",IF($F22=Settings!$B$6,MAX(2*Settings!$B$7,Settings!$B$4*$E22),IF($F22=Settings!$B$11,MAX(2*Settings!$B$12,Settings!$B$4*$E22),"")))</f>
        <v/>
      </c>
      <c r="H22" s="27" t="str">
        <f aca="false">IF($B22="","",IF(LEFT($F22,6)="Listed","Quantity 0: shown on the station as a reminder, not weighed. Give it a weight to weigh it.",IF(LEFT($F22,7)="NEITHER","Cannot be weighed — split it, premix it, or raise the batch size",IF($G22&gt;Settings!$B$4*$E22+0.0001,"Held to the scale's resolution, not "&amp;TEXT(Settings!$B$4,"0%"),""))))</f>
        <v/>
      </c>
    </row>
    <row r="23" customFormat="false" ht="15" hidden="false" customHeight="false" outlineLevel="0" collapsed="false">
      <c r="A23" s="21" t="str">
        <f aca="false">IF($B23="","",15)</f>
        <v/>
      </c>
      <c r="B23" s="22"/>
      <c r="C23" s="23"/>
      <c r="D23" s="24" t="str">
        <f aca="false">IF($B23="","",$C23/1000)</f>
        <v/>
      </c>
      <c r="E23" s="25" t="str">
        <f aca="false">IF($B23="","",$D23*$C$4)</f>
        <v/>
      </c>
      <c r="F23" s="26" t="str">
        <f aca="false">IF($B23="","",IF($C23=0,"Listed — not weighed",IF($E23&lt;0,"NEITHER — negative weight",IF($E23&gt;=Settings!$B$19,Settings!$B$6,IF($E23&gt;Settings!$B$14,"NEITHER — over bench capacity",IF($E23&gt;=2*Settings!$B$12,Settings!$B$11,"NEITHER — under bench resolution"))))))</f>
        <v/>
      </c>
      <c r="G23" s="25" t="str">
        <f aca="false">IF($B23="","",IF($F23=Settings!$B$6,MAX(2*Settings!$B$7,Settings!$B$4*$E23),IF($F23=Settings!$B$11,MAX(2*Settings!$B$12,Settings!$B$4*$E23),"")))</f>
        <v/>
      </c>
      <c r="H23" s="27" t="str">
        <f aca="false">IF($B23="","",IF(LEFT($F23,6)="Listed","Quantity 0: shown on the station as a reminder, not weighed. Give it a weight to weigh it.",IF(LEFT($F23,7)="NEITHER","Cannot be weighed — split it, premix it, or raise the batch size",IF($G23&gt;Settings!$B$4*$E23+0.0001,"Held to the scale's resolution, not "&amp;TEXT(Settings!$B$4,"0%"),""))))</f>
        <v/>
      </c>
    </row>
    <row r="24" customFormat="false" ht="15" hidden="false" customHeight="false" outlineLevel="0" collapsed="false">
      <c r="A24" s="21" t="str">
        <f aca="false">IF($B24="","",16)</f>
        <v/>
      </c>
      <c r="B24" s="22"/>
      <c r="C24" s="23"/>
      <c r="D24" s="24" t="str">
        <f aca="false">IF($B24="","",$C24/1000)</f>
        <v/>
      </c>
      <c r="E24" s="25" t="str">
        <f aca="false">IF($B24="","",$D24*$C$4)</f>
        <v/>
      </c>
      <c r="F24" s="26" t="str">
        <f aca="false">IF($B24="","",IF($C24=0,"Listed — not weighed",IF($E24&lt;0,"NEITHER — negative weight",IF($E24&gt;=Settings!$B$19,Settings!$B$6,IF($E24&gt;Settings!$B$14,"NEITHER — over bench capacity",IF($E24&gt;=2*Settings!$B$12,Settings!$B$11,"NEITHER — under bench resolution"))))))</f>
        <v/>
      </c>
      <c r="G24" s="25" t="str">
        <f aca="false">IF($B24="","",IF($F24=Settings!$B$6,MAX(2*Settings!$B$7,Settings!$B$4*$E24),IF($F24=Settings!$B$11,MAX(2*Settings!$B$12,Settings!$B$4*$E24),"")))</f>
        <v/>
      </c>
      <c r="H24" s="27" t="str">
        <f aca="false">IF($B24="","",IF(LEFT($F24,6)="Listed","Quantity 0: shown on the station as a reminder, not weighed. Give it a weight to weigh it.",IF(LEFT($F24,7)="NEITHER","Cannot be weighed — split it, premix it, or raise the batch size",IF($G24&gt;Settings!$B$4*$E24+0.0001,"Held to the scale's resolution, not "&amp;TEXT(Settings!$B$4,"0%"),""))))</f>
        <v/>
      </c>
    </row>
    <row r="25" customFormat="false" ht="15" hidden="false" customHeight="false" outlineLevel="0" collapsed="false">
      <c r="A25" s="21" t="str">
        <f aca="false">IF($B25="","",17)</f>
        <v/>
      </c>
      <c r="B25" s="22"/>
      <c r="C25" s="23"/>
      <c r="D25" s="24" t="str">
        <f aca="false">IF($B25="","",$C25/1000)</f>
        <v/>
      </c>
      <c r="E25" s="25" t="str">
        <f aca="false">IF($B25="","",$D25*$C$4)</f>
        <v/>
      </c>
      <c r="F25" s="26" t="str">
        <f aca="false">IF($B25="","",IF($C25=0,"Listed — not weighed",IF($E25&lt;0,"NEITHER — negative weight",IF($E25&gt;=Settings!$B$19,Settings!$B$6,IF($E25&gt;Settings!$B$14,"NEITHER — over bench capacity",IF($E25&gt;=2*Settings!$B$12,Settings!$B$11,"NEITHER — under bench resolution"))))))</f>
        <v/>
      </c>
      <c r="G25" s="25" t="str">
        <f aca="false">IF($B25="","",IF($F25=Settings!$B$6,MAX(2*Settings!$B$7,Settings!$B$4*$E25),IF($F25=Settings!$B$11,MAX(2*Settings!$B$12,Settings!$B$4*$E25),"")))</f>
        <v/>
      </c>
      <c r="H25" s="27" t="str">
        <f aca="false">IF($B25="","",IF(LEFT($F25,6)="Listed","Quantity 0: shown on the station as a reminder, not weighed. Give it a weight to weigh it.",IF(LEFT($F25,7)="NEITHER","Cannot be weighed — split it, premix it, or raise the batch size",IF($G25&gt;Settings!$B$4*$E25+0.0001,"Held to the scale's resolution, not "&amp;TEXT(Settings!$B$4,"0%"),""))))</f>
        <v/>
      </c>
    </row>
    <row r="26" customFormat="false" ht="15" hidden="false" customHeight="false" outlineLevel="0" collapsed="false">
      <c r="A26" s="21" t="str">
        <f aca="false">IF($B26="","",18)</f>
        <v/>
      </c>
      <c r="B26" s="22"/>
      <c r="C26" s="23"/>
      <c r="D26" s="24" t="str">
        <f aca="false">IF($B26="","",$C26/1000)</f>
        <v/>
      </c>
      <c r="E26" s="25" t="str">
        <f aca="false">IF($B26="","",$D26*$C$4)</f>
        <v/>
      </c>
      <c r="F26" s="26" t="str">
        <f aca="false">IF($B26="","",IF($C26=0,"Listed — not weighed",IF($E26&lt;0,"NEITHER — negative weight",IF($E26&gt;=Settings!$B$19,Settings!$B$6,IF($E26&gt;Settings!$B$14,"NEITHER — over bench capacity",IF($E26&gt;=2*Settings!$B$12,Settings!$B$11,"NEITHER — under bench resolution"))))))</f>
        <v/>
      </c>
      <c r="G26" s="25" t="str">
        <f aca="false">IF($B26="","",IF($F26=Settings!$B$6,MAX(2*Settings!$B$7,Settings!$B$4*$E26),IF($F26=Settings!$B$11,MAX(2*Settings!$B$12,Settings!$B$4*$E26),"")))</f>
        <v/>
      </c>
      <c r="H26" s="27" t="str">
        <f aca="false">IF($B26="","",IF(LEFT($F26,6)="Listed","Quantity 0: shown on the station as a reminder, not weighed. Give it a weight to weigh it.",IF(LEFT($F26,7)="NEITHER","Cannot be weighed — split it, premix it, or raise the batch size",IF($G26&gt;Settings!$B$4*$E26+0.0001,"Held to the scale's resolution, not "&amp;TEXT(Settings!$B$4,"0%"),""))))</f>
        <v/>
      </c>
    </row>
    <row r="27" customFormat="false" ht="15" hidden="false" customHeight="false" outlineLevel="0" collapsed="false">
      <c r="A27" s="21" t="str">
        <f aca="false">IF($B27="","",19)</f>
        <v/>
      </c>
      <c r="B27" s="22"/>
      <c r="C27" s="23"/>
      <c r="D27" s="24" t="str">
        <f aca="false">IF($B27="","",$C27/1000)</f>
        <v/>
      </c>
      <c r="E27" s="25" t="str">
        <f aca="false">IF($B27="","",$D27*$C$4)</f>
        <v/>
      </c>
      <c r="F27" s="26" t="str">
        <f aca="false">IF($B27="","",IF($C27=0,"Listed — not weighed",IF($E27&lt;0,"NEITHER — negative weight",IF($E27&gt;=Settings!$B$19,Settings!$B$6,IF($E27&gt;Settings!$B$14,"NEITHER — over bench capacity",IF($E27&gt;=2*Settings!$B$12,Settings!$B$11,"NEITHER — under bench resolution"))))))</f>
        <v/>
      </c>
      <c r="G27" s="25" t="str">
        <f aca="false">IF($B27="","",IF($F27=Settings!$B$6,MAX(2*Settings!$B$7,Settings!$B$4*$E27),IF($F27=Settings!$B$11,MAX(2*Settings!$B$12,Settings!$B$4*$E27),"")))</f>
        <v/>
      </c>
      <c r="H27" s="27" t="str">
        <f aca="false">IF($B27="","",IF(LEFT($F27,6)="Listed","Quantity 0: shown on the station as a reminder, not weighed. Give it a weight to weigh it.",IF(LEFT($F27,7)="NEITHER","Cannot be weighed — split it, premix it, or raise the batch size",IF($G27&gt;Settings!$B$4*$E27+0.0001,"Held to the scale's resolution, not "&amp;TEXT(Settings!$B$4,"0%"),""))))</f>
        <v/>
      </c>
    </row>
    <row r="28" customFormat="false" ht="15" hidden="false" customHeight="false" outlineLevel="0" collapsed="false">
      <c r="A28" s="21" t="str">
        <f aca="false">IF($B28="","",20)</f>
        <v/>
      </c>
      <c r="B28" s="22"/>
      <c r="C28" s="23"/>
      <c r="D28" s="24" t="str">
        <f aca="false">IF($B28="","",$C28/1000)</f>
        <v/>
      </c>
      <c r="E28" s="25" t="str">
        <f aca="false">IF($B28="","",$D28*$C$4)</f>
        <v/>
      </c>
      <c r="F28" s="26" t="str">
        <f aca="false">IF($B28="","",IF($C28=0,"Listed — not weighed",IF($E28&lt;0,"NEITHER — negative weight",IF($E28&gt;=Settings!$B$19,Settings!$B$6,IF($E28&gt;Settings!$B$14,"NEITHER — over bench capacity",IF($E28&gt;=2*Settings!$B$12,Settings!$B$11,"NEITHER — under bench resolution"))))))</f>
        <v/>
      </c>
      <c r="G28" s="25" t="str">
        <f aca="false">IF($B28="","",IF($F28=Settings!$B$6,MAX(2*Settings!$B$7,Settings!$B$4*$E28),IF($F28=Settings!$B$11,MAX(2*Settings!$B$12,Settings!$B$4*$E28),"")))</f>
        <v/>
      </c>
      <c r="H28" s="27" t="str">
        <f aca="false">IF($B28="","",IF(LEFT($F28,6)="Listed","Quantity 0: shown on the station as a reminder, not weighed. Give it a weight to weigh it.",IF(LEFT($F28,7)="NEITHER","Cannot be weighed — split it, premix it, or raise the batch size",IF($G28&gt;Settings!$B$4*$E28+0.0001,"Held to the scale's resolution, not "&amp;TEXT(Settings!$B$4,"0%"),""))))</f>
        <v/>
      </c>
    </row>
    <row r="29" customFormat="false" ht="15" hidden="false" customHeight="false" outlineLevel="0" collapsed="false">
      <c r="A29" s="21" t="str">
        <f aca="false">IF($B29="","",21)</f>
        <v/>
      </c>
      <c r="B29" s="22"/>
      <c r="C29" s="23"/>
      <c r="D29" s="24" t="str">
        <f aca="false">IF($B29="","",$C29/1000)</f>
        <v/>
      </c>
      <c r="E29" s="25" t="str">
        <f aca="false">IF($B29="","",$D29*$C$4)</f>
        <v/>
      </c>
      <c r="F29" s="26" t="str">
        <f aca="false">IF($B29="","",IF($C29=0,"Listed — not weighed",IF($E29&lt;0,"NEITHER — negative weight",IF($E29&gt;=Settings!$B$19,Settings!$B$6,IF($E29&gt;Settings!$B$14,"NEITHER — over bench capacity",IF($E29&gt;=2*Settings!$B$12,Settings!$B$11,"NEITHER — under bench resolution"))))))</f>
        <v/>
      </c>
      <c r="G29" s="25" t="str">
        <f aca="false">IF($B29="","",IF($F29=Settings!$B$6,MAX(2*Settings!$B$7,Settings!$B$4*$E29),IF($F29=Settings!$B$11,MAX(2*Settings!$B$12,Settings!$B$4*$E29),"")))</f>
        <v/>
      </c>
      <c r="H29" s="27" t="str">
        <f aca="false">IF($B29="","",IF(LEFT($F29,6)="Listed","Quantity 0: shown on the station as a reminder, not weighed. Give it a weight to weigh it.",IF(LEFT($F29,7)="NEITHER","Cannot be weighed — split it, premix it, or raise the batch size",IF($G29&gt;Settings!$B$4*$E29+0.0001,"Held to the scale's resolution, not "&amp;TEXT(Settings!$B$4,"0%"),""))))</f>
        <v/>
      </c>
    </row>
    <row r="30" customFormat="false" ht="15" hidden="false" customHeight="false" outlineLevel="0" collapsed="false">
      <c r="A30" s="21" t="str">
        <f aca="false">IF($B30="","",22)</f>
        <v/>
      </c>
      <c r="B30" s="22"/>
      <c r="C30" s="23"/>
      <c r="D30" s="24" t="str">
        <f aca="false">IF($B30="","",$C30/1000)</f>
        <v/>
      </c>
      <c r="E30" s="25" t="str">
        <f aca="false">IF($B30="","",$D30*$C$4)</f>
        <v/>
      </c>
      <c r="F30" s="26" t="str">
        <f aca="false">IF($B30="","",IF($C30=0,"Listed — not weighed",IF($E30&lt;0,"NEITHER — negative weight",IF($E30&gt;=Settings!$B$19,Settings!$B$6,IF($E30&gt;Settings!$B$14,"NEITHER — over bench capacity",IF($E30&gt;=2*Settings!$B$12,Settings!$B$11,"NEITHER — under bench resolution"))))))</f>
        <v/>
      </c>
      <c r="G30" s="25" t="str">
        <f aca="false">IF($B30="","",IF($F30=Settings!$B$6,MAX(2*Settings!$B$7,Settings!$B$4*$E30),IF($F30=Settings!$B$11,MAX(2*Settings!$B$12,Settings!$B$4*$E30),"")))</f>
        <v/>
      </c>
      <c r="H30" s="27" t="str">
        <f aca="false">IF($B30="","",IF(LEFT($F30,6)="Listed","Quantity 0: shown on the station as a reminder, not weighed. Give it a weight to weigh it.",IF(LEFT($F30,7)="NEITHER","Cannot be weighed — split it, premix it, or raise the batch size",IF($G30&gt;Settings!$B$4*$E30+0.0001,"Held to the scale's resolution, not "&amp;TEXT(Settings!$B$4,"0%"),""))))</f>
        <v/>
      </c>
    </row>
    <row r="31" customFormat="false" ht="15" hidden="false" customHeight="false" outlineLevel="0" collapsed="false">
      <c r="A31" s="21" t="str">
        <f aca="false">IF($B31="","",23)</f>
        <v/>
      </c>
      <c r="B31" s="22"/>
      <c r="C31" s="23"/>
      <c r="D31" s="24" t="str">
        <f aca="false">IF($B31="","",$C31/1000)</f>
        <v/>
      </c>
      <c r="E31" s="25" t="str">
        <f aca="false">IF($B31="","",$D31*$C$4)</f>
        <v/>
      </c>
      <c r="F31" s="26" t="str">
        <f aca="false">IF($B31="","",IF($C31=0,"Listed — not weighed",IF($E31&lt;0,"NEITHER — negative weight",IF($E31&gt;=Settings!$B$19,Settings!$B$6,IF($E31&gt;Settings!$B$14,"NEITHER — over bench capacity",IF($E31&gt;=2*Settings!$B$12,Settings!$B$11,"NEITHER — under bench resolution"))))))</f>
        <v/>
      </c>
      <c r="G31" s="25" t="str">
        <f aca="false">IF($B31="","",IF($F31=Settings!$B$6,MAX(2*Settings!$B$7,Settings!$B$4*$E31),IF($F31=Settings!$B$11,MAX(2*Settings!$B$12,Settings!$B$4*$E31),"")))</f>
        <v/>
      </c>
      <c r="H31" s="27" t="str">
        <f aca="false">IF($B31="","",IF(LEFT($F31,6)="Listed","Quantity 0: shown on the station as a reminder, not weighed. Give it a weight to weigh it.",IF(LEFT($F31,7)="NEITHER","Cannot be weighed — split it, premix it, or raise the batch size",IF($G31&gt;Settings!$B$4*$E31+0.0001,"Held to the scale's resolution, not "&amp;TEXT(Settings!$B$4,"0%"),""))))</f>
        <v/>
      </c>
    </row>
    <row r="32" customFormat="false" ht="15" hidden="false" customHeight="false" outlineLevel="0" collapsed="false">
      <c r="A32" s="21" t="str">
        <f aca="false">IF($B32="","",24)</f>
        <v/>
      </c>
      <c r="B32" s="22"/>
      <c r="C32" s="23"/>
      <c r="D32" s="24" t="str">
        <f aca="false">IF($B32="","",$C32/1000)</f>
        <v/>
      </c>
      <c r="E32" s="25" t="str">
        <f aca="false">IF($B32="","",$D32*$C$4)</f>
        <v/>
      </c>
      <c r="F32" s="26" t="str">
        <f aca="false">IF($B32="","",IF($C32=0,"Listed — not weighed",IF($E32&lt;0,"NEITHER — negative weight",IF($E32&gt;=Settings!$B$19,Settings!$B$6,IF($E32&gt;Settings!$B$14,"NEITHER — over bench capacity",IF($E32&gt;=2*Settings!$B$12,Settings!$B$11,"NEITHER — under bench resolution"))))))</f>
        <v/>
      </c>
      <c r="G32" s="25" t="str">
        <f aca="false">IF($B32="","",IF($F32=Settings!$B$6,MAX(2*Settings!$B$7,Settings!$B$4*$E32),IF($F32=Settings!$B$11,MAX(2*Settings!$B$12,Settings!$B$4*$E32),"")))</f>
        <v/>
      </c>
      <c r="H32" s="27" t="str">
        <f aca="false">IF($B32="","",IF(LEFT($F32,6)="Listed","Quantity 0: shown on the station as a reminder, not weighed. Give it a weight to weigh it.",IF(LEFT($F32,7)="NEITHER","Cannot be weighed — split it, premix it, or raise the batch size",IF($G32&gt;Settings!$B$4*$E32+0.0001,"Held to the scale's resolution, not "&amp;TEXT(Settings!$B$4,"0%"),""))))</f>
        <v/>
      </c>
    </row>
    <row r="33" customFormat="false" ht="15" hidden="false" customHeight="false" outlineLevel="0" collapsed="false">
      <c r="A33" s="21" t="str">
        <f aca="false">IF($B33="","",25)</f>
        <v/>
      </c>
      <c r="B33" s="22"/>
      <c r="C33" s="23"/>
      <c r="D33" s="24" t="str">
        <f aca="false">IF($B33="","",$C33/1000)</f>
        <v/>
      </c>
      <c r="E33" s="25" t="str">
        <f aca="false">IF($B33="","",$D33*$C$4)</f>
        <v/>
      </c>
      <c r="F33" s="26" t="str">
        <f aca="false">IF($B33="","",IF($C33=0,"Listed — not weighed",IF($E33&lt;0,"NEITHER — negative weight",IF($E33&gt;=Settings!$B$19,Settings!$B$6,IF($E33&gt;Settings!$B$14,"NEITHER — over bench capacity",IF($E33&gt;=2*Settings!$B$12,Settings!$B$11,"NEITHER — under bench resolution"))))))</f>
        <v/>
      </c>
      <c r="G33" s="25" t="str">
        <f aca="false">IF($B33="","",IF($F33=Settings!$B$6,MAX(2*Settings!$B$7,Settings!$B$4*$E33),IF($F33=Settings!$B$11,MAX(2*Settings!$B$12,Settings!$B$4*$E33),"")))</f>
        <v/>
      </c>
      <c r="H33" s="27" t="str">
        <f aca="false">IF($B33="","",IF(LEFT($F33,6)="Listed","Quantity 0: shown on the station as a reminder, not weighed. Give it a weight to weigh it.",IF(LEFT($F33,7)="NEITHER","Cannot be weighed — split it, premix it, or raise the batch size",IF($G33&gt;Settings!$B$4*$E33+0.0001,"Held to the scale's resolution, not "&amp;TEXT(Settings!$B$4,"0%"),""))))</f>
        <v/>
      </c>
    </row>
    <row r="34" customFormat="false" ht="15" hidden="false" customHeight="false" outlineLevel="0" collapsed="false">
      <c r="A34" s="21" t="str">
        <f aca="false">IF($B34="","",26)</f>
        <v/>
      </c>
      <c r="B34" s="22"/>
      <c r="C34" s="23"/>
      <c r="D34" s="24" t="str">
        <f aca="false">IF($B34="","",$C34/1000)</f>
        <v/>
      </c>
      <c r="E34" s="25" t="str">
        <f aca="false">IF($B34="","",$D34*$C$4)</f>
        <v/>
      </c>
      <c r="F34" s="26" t="str">
        <f aca="false">IF($B34="","",IF($C34=0,"Listed — not weighed",IF($E34&lt;0,"NEITHER — negative weight",IF($E34&gt;=Settings!$B$19,Settings!$B$6,IF($E34&gt;Settings!$B$14,"NEITHER — over bench capacity",IF($E34&gt;=2*Settings!$B$12,Settings!$B$11,"NEITHER — under bench resolution"))))))</f>
        <v/>
      </c>
      <c r="G34" s="25" t="str">
        <f aca="false">IF($B34="","",IF($F34=Settings!$B$6,MAX(2*Settings!$B$7,Settings!$B$4*$E34),IF($F34=Settings!$B$11,MAX(2*Settings!$B$12,Settings!$B$4*$E34),"")))</f>
        <v/>
      </c>
      <c r="H34" s="27" t="str">
        <f aca="false">IF($B34="","",IF(LEFT($F34,6)="Listed","Quantity 0: shown on the station as a reminder, not weighed. Give it a weight to weigh it.",IF(LEFT($F34,7)="NEITHER","Cannot be weighed — split it, premix it, or raise the batch size",IF($G34&gt;Settings!$B$4*$E34+0.0001,"Held to the scale's resolution, not "&amp;TEXT(Settings!$B$4,"0%"),""))))</f>
        <v/>
      </c>
    </row>
    <row r="35" customFormat="false" ht="15" hidden="false" customHeight="false" outlineLevel="0" collapsed="false">
      <c r="A35" s="21" t="str">
        <f aca="false">IF($B35="","",27)</f>
        <v/>
      </c>
      <c r="B35" s="22"/>
      <c r="C35" s="23"/>
      <c r="D35" s="24" t="str">
        <f aca="false">IF($B35="","",$C35/1000)</f>
        <v/>
      </c>
      <c r="E35" s="25" t="str">
        <f aca="false">IF($B35="","",$D35*$C$4)</f>
        <v/>
      </c>
      <c r="F35" s="26" t="str">
        <f aca="false">IF($B35="","",IF($C35=0,"Listed — not weighed",IF($E35&lt;0,"NEITHER — negative weight",IF($E35&gt;=Settings!$B$19,Settings!$B$6,IF($E35&gt;Settings!$B$14,"NEITHER — over bench capacity",IF($E35&gt;=2*Settings!$B$12,Settings!$B$11,"NEITHER — under bench resolution"))))))</f>
        <v/>
      </c>
      <c r="G35" s="25" t="str">
        <f aca="false">IF($B35="","",IF($F35=Settings!$B$6,MAX(2*Settings!$B$7,Settings!$B$4*$E35),IF($F35=Settings!$B$11,MAX(2*Settings!$B$12,Settings!$B$4*$E35),"")))</f>
        <v/>
      </c>
      <c r="H35" s="27" t="str">
        <f aca="false">IF($B35="","",IF(LEFT($F35,6)="Listed","Quantity 0: shown on the station as a reminder, not weighed. Give it a weight to weigh it.",IF(LEFT($F35,7)="NEITHER","Cannot be weighed — split it, premix it, or raise the batch size",IF($G35&gt;Settings!$B$4*$E35+0.0001,"Held to the scale's resolution, not "&amp;TEXT(Settings!$B$4,"0%"),""))))</f>
        <v/>
      </c>
    </row>
    <row r="36" customFormat="false" ht="15" hidden="false" customHeight="false" outlineLevel="0" collapsed="false">
      <c r="A36" s="21" t="str">
        <f aca="false">IF($B36="","",28)</f>
        <v/>
      </c>
      <c r="B36" s="22"/>
      <c r="C36" s="23"/>
      <c r="D36" s="24" t="str">
        <f aca="false">IF($B36="","",$C36/1000)</f>
        <v/>
      </c>
      <c r="E36" s="25" t="str">
        <f aca="false">IF($B36="","",$D36*$C$4)</f>
        <v/>
      </c>
      <c r="F36" s="26" t="str">
        <f aca="false">IF($B36="","",IF($C36=0,"Listed — not weighed",IF($E36&lt;0,"NEITHER — negative weight",IF($E36&gt;=Settings!$B$19,Settings!$B$6,IF($E36&gt;Settings!$B$14,"NEITHER — over bench capacity",IF($E36&gt;=2*Settings!$B$12,Settings!$B$11,"NEITHER — under bench resolution"))))))</f>
        <v/>
      </c>
      <c r="G36" s="25" t="str">
        <f aca="false">IF($B36="","",IF($F36=Settings!$B$6,MAX(2*Settings!$B$7,Settings!$B$4*$E36),IF($F36=Settings!$B$11,MAX(2*Settings!$B$12,Settings!$B$4*$E36),"")))</f>
        <v/>
      </c>
      <c r="H36" s="27" t="str">
        <f aca="false">IF($B36="","",IF(LEFT($F36,6)="Listed","Quantity 0: shown on the station as a reminder, not weighed. Give it a weight to weigh it.",IF(LEFT($F36,7)="NEITHER","Cannot be weighed — split it, premix it, or raise the batch size",IF($G36&gt;Settings!$B$4*$E36+0.0001,"Held to the scale's resolution, not "&amp;TEXT(Settings!$B$4,"0%"),""))))</f>
        <v/>
      </c>
    </row>
    <row r="37" customFormat="false" ht="15" hidden="false" customHeight="false" outlineLevel="0" collapsed="false">
      <c r="A37" s="21" t="str">
        <f aca="false">IF($B37="","",29)</f>
        <v/>
      </c>
      <c r="B37" s="22"/>
      <c r="C37" s="23"/>
      <c r="D37" s="24" t="str">
        <f aca="false">IF($B37="","",$C37/1000)</f>
        <v/>
      </c>
      <c r="E37" s="25" t="str">
        <f aca="false">IF($B37="","",$D37*$C$4)</f>
        <v/>
      </c>
      <c r="F37" s="26" t="str">
        <f aca="false">IF($B37="","",IF($C37=0,"Listed — not weighed",IF($E37&lt;0,"NEITHER — negative weight",IF($E37&gt;=Settings!$B$19,Settings!$B$6,IF($E37&gt;Settings!$B$14,"NEITHER — over bench capacity",IF($E37&gt;=2*Settings!$B$12,Settings!$B$11,"NEITHER — under bench resolution"))))))</f>
        <v/>
      </c>
      <c r="G37" s="25" t="str">
        <f aca="false">IF($B37="","",IF($F37=Settings!$B$6,MAX(2*Settings!$B$7,Settings!$B$4*$E37),IF($F37=Settings!$B$11,MAX(2*Settings!$B$12,Settings!$B$4*$E37),"")))</f>
        <v/>
      </c>
      <c r="H37" s="27" t="str">
        <f aca="false">IF($B37="","",IF(LEFT($F37,6)="Listed","Quantity 0: shown on the station as a reminder, not weighed. Give it a weight to weigh it.",IF(LEFT($F37,7)="NEITHER","Cannot be weighed — split it, premix it, or raise the batch size",IF($G37&gt;Settings!$B$4*$E37+0.0001,"Held to the scale's resolution, not "&amp;TEXT(Settings!$B$4,"0%"),""))))</f>
        <v/>
      </c>
    </row>
    <row r="38" customFormat="false" ht="15" hidden="false" customHeight="false" outlineLevel="0" collapsed="false">
      <c r="A38" s="21" t="str">
        <f aca="false">IF($B38="","",30)</f>
        <v/>
      </c>
      <c r="B38" s="22"/>
      <c r="C38" s="23"/>
      <c r="D38" s="24" t="str">
        <f aca="false">IF($B38="","",$C38/1000)</f>
        <v/>
      </c>
      <c r="E38" s="25" t="str">
        <f aca="false">IF($B38="","",$D38*$C$4)</f>
        <v/>
      </c>
      <c r="F38" s="26" t="str">
        <f aca="false">IF($B38="","",IF($C38=0,"Listed — not weighed",IF($E38&lt;0,"NEITHER — negative weight",IF($E38&gt;=Settings!$B$19,Settings!$B$6,IF($E38&gt;Settings!$B$14,"NEITHER — over bench capacity",IF($E38&gt;=2*Settings!$B$12,Settings!$B$11,"NEITHER — under bench resolution"))))))</f>
        <v/>
      </c>
      <c r="G38" s="25" t="str">
        <f aca="false">IF($B38="","",IF($F38=Settings!$B$6,MAX(2*Settings!$B$7,Settings!$B$4*$E38),IF($F38=Settings!$B$11,MAX(2*Settings!$B$12,Settings!$B$4*$E38),"")))</f>
        <v/>
      </c>
      <c r="H38" s="27" t="str">
        <f aca="false">IF($B38="","",IF(LEFT($F38,6)="Listed","Quantity 0: shown on the station as a reminder, not weighed. Give it a weight to weigh it.",IF(LEFT($F38,7)="NEITHER","Cannot be weighed — split it, premix it, or raise the batch size",IF($G38&gt;Settings!$B$4*$E38+0.0001,"Held to the scale's resolution, not "&amp;TEXT(Settings!$B$4,"0%"),""))))</f>
        <v/>
      </c>
    </row>
    <row r="39" customFormat="false" ht="15" hidden="false" customHeight="false" outlineLevel="0" collapsed="false">
      <c r="A39" s="21" t="str">
        <f aca="false">IF($B39="","",31)</f>
        <v/>
      </c>
      <c r="B39" s="22"/>
      <c r="C39" s="23"/>
      <c r="D39" s="24" t="str">
        <f aca="false">IF($B39="","",$C39/1000)</f>
        <v/>
      </c>
      <c r="E39" s="25" t="str">
        <f aca="false">IF($B39="","",$D39*$C$4)</f>
        <v/>
      </c>
      <c r="F39" s="26" t="str">
        <f aca="false">IF($B39="","",IF($C39=0,"Listed — not weighed",IF($E39&lt;0,"NEITHER — negative weight",IF($E39&gt;=Settings!$B$19,Settings!$B$6,IF($E39&gt;Settings!$B$14,"NEITHER — over bench capacity",IF($E39&gt;=2*Settings!$B$12,Settings!$B$11,"NEITHER — under bench resolution"))))))</f>
        <v/>
      </c>
      <c r="G39" s="25" t="str">
        <f aca="false">IF($B39="","",IF($F39=Settings!$B$6,MAX(2*Settings!$B$7,Settings!$B$4*$E39),IF($F39=Settings!$B$11,MAX(2*Settings!$B$12,Settings!$B$4*$E39),"")))</f>
        <v/>
      </c>
      <c r="H39" s="27" t="str">
        <f aca="false">IF($B39="","",IF(LEFT($F39,6)="Listed","Quantity 0: shown on the station as a reminder, not weighed. Give it a weight to weigh it.",IF(LEFT($F39,7)="NEITHER","Cannot be weighed — split it, premix it, or raise the batch size",IF($G39&gt;Settings!$B$4*$E39+0.0001,"Held to the scale's resolution, not "&amp;TEXT(Settings!$B$4,"0%"),""))))</f>
        <v/>
      </c>
    </row>
    <row r="40" customFormat="false" ht="15" hidden="false" customHeight="false" outlineLevel="0" collapsed="false">
      <c r="A40" s="21" t="str">
        <f aca="false">IF($B40="","",32)</f>
        <v/>
      </c>
      <c r="B40" s="22"/>
      <c r="C40" s="23"/>
      <c r="D40" s="24" t="str">
        <f aca="false">IF($B40="","",$C40/1000)</f>
        <v/>
      </c>
      <c r="E40" s="25" t="str">
        <f aca="false">IF($B40="","",$D40*$C$4)</f>
        <v/>
      </c>
      <c r="F40" s="26" t="str">
        <f aca="false">IF($B40="","",IF($C40=0,"Listed — not weighed",IF($E40&lt;0,"NEITHER — negative weight",IF($E40&gt;=Settings!$B$19,Settings!$B$6,IF($E40&gt;Settings!$B$14,"NEITHER — over bench capacity",IF($E40&gt;=2*Settings!$B$12,Settings!$B$11,"NEITHER — under bench resolution"))))))</f>
        <v/>
      </c>
      <c r="G40" s="25" t="str">
        <f aca="false">IF($B40="","",IF($F40=Settings!$B$6,MAX(2*Settings!$B$7,Settings!$B$4*$E40),IF($F40=Settings!$B$11,MAX(2*Settings!$B$12,Settings!$B$4*$E40),"")))</f>
        <v/>
      </c>
      <c r="H40" s="27" t="str">
        <f aca="false">IF($B40="","",IF(LEFT($F40,6)="Listed","Quantity 0: shown on the station as a reminder, not weighed. Give it a weight to weigh it.",IF(LEFT($F40,7)="NEITHER","Cannot be weighed — split it, premix it, or raise the batch size",IF($G40&gt;Settings!$B$4*$E40+0.0001,"Held to the scale's resolution, not "&amp;TEXT(Settings!$B$4,"0%"),""))))</f>
        <v/>
      </c>
    </row>
    <row r="41" customFormat="false" ht="15" hidden="false" customHeight="false" outlineLevel="0" collapsed="false">
      <c r="A41" s="21" t="str">
        <f aca="false">IF($B41="","",33)</f>
        <v/>
      </c>
      <c r="B41" s="22"/>
      <c r="C41" s="23"/>
      <c r="D41" s="24" t="str">
        <f aca="false">IF($B41="","",$C41/1000)</f>
        <v/>
      </c>
      <c r="E41" s="25" t="str">
        <f aca="false">IF($B41="","",$D41*$C$4)</f>
        <v/>
      </c>
      <c r="F41" s="26" t="str">
        <f aca="false">IF($B41="","",IF($C41=0,"Listed — not weighed",IF($E41&lt;0,"NEITHER — negative weight",IF($E41&gt;=Settings!$B$19,Settings!$B$6,IF($E41&gt;Settings!$B$14,"NEITHER — over bench capacity",IF($E41&gt;=2*Settings!$B$12,Settings!$B$11,"NEITHER — under bench resolution"))))))</f>
        <v/>
      </c>
      <c r="G41" s="25" t="str">
        <f aca="false">IF($B41="","",IF($F41=Settings!$B$6,MAX(2*Settings!$B$7,Settings!$B$4*$E41),IF($F41=Settings!$B$11,MAX(2*Settings!$B$12,Settings!$B$4*$E41),"")))</f>
        <v/>
      </c>
      <c r="H41" s="27" t="str">
        <f aca="false">IF($B41="","",IF(LEFT($F41,6)="Listed","Quantity 0: shown on the station as a reminder, not weighed. Give it a weight to weigh it.",IF(LEFT($F41,7)="NEITHER","Cannot be weighed — split it, premix it, or raise the batch size",IF($G41&gt;Settings!$B$4*$E41+0.0001,"Held to the scale's resolution, not "&amp;TEXT(Settings!$B$4,"0%"),""))))</f>
        <v/>
      </c>
    </row>
    <row r="42" customFormat="false" ht="15" hidden="false" customHeight="false" outlineLevel="0" collapsed="false">
      <c r="A42" s="21" t="str">
        <f aca="false">IF($B42="","",34)</f>
        <v/>
      </c>
      <c r="B42" s="22"/>
      <c r="C42" s="23"/>
      <c r="D42" s="24" t="str">
        <f aca="false">IF($B42="","",$C42/1000)</f>
        <v/>
      </c>
      <c r="E42" s="25" t="str">
        <f aca="false">IF($B42="","",$D42*$C$4)</f>
        <v/>
      </c>
      <c r="F42" s="26" t="str">
        <f aca="false">IF($B42="","",IF($C42=0,"Listed — not weighed",IF($E42&lt;0,"NEITHER — negative weight",IF($E42&gt;=Settings!$B$19,Settings!$B$6,IF($E42&gt;Settings!$B$14,"NEITHER — over bench capacity",IF($E42&gt;=2*Settings!$B$12,Settings!$B$11,"NEITHER — under bench resolution"))))))</f>
        <v/>
      </c>
      <c r="G42" s="25" t="str">
        <f aca="false">IF($B42="","",IF($F42=Settings!$B$6,MAX(2*Settings!$B$7,Settings!$B$4*$E42),IF($F42=Settings!$B$11,MAX(2*Settings!$B$12,Settings!$B$4*$E42),"")))</f>
        <v/>
      </c>
      <c r="H42" s="27" t="str">
        <f aca="false">IF($B42="","",IF(LEFT($F42,6)="Listed","Quantity 0: shown on the station as a reminder, not weighed. Give it a weight to weigh it.",IF(LEFT($F42,7)="NEITHER","Cannot be weighed — split it, premix it, or raise the batch size",IF($G42&gt;Settings!$B$4*$E42+0.0001,"Held to the scale's resolution, not "&amp;TEXT(Settings!$B$4,"0%"),""))))</f>
        <v/>
      </c>
    </row>
    <row r="43" customFormat="false" ht="15" hidden="false" customHeight="false" outlineLevel="0" collapsed="false">
      <c r="A43" s="21" t="str">
        <f aca="false">IF($B43="","",35)</f>
        <v/>
      </c>
      <c r="B43" s="22"/>
      <c r="C43" s="23"/>
      <c r="D43" s="24" t="str">
        <f aca="false">IF($B43="","",$C43/1000)</f>
        <v/>
      </c>
      <c r="E43" s="25" t="str">
        <f aca="false">IF($B43="","",$D43*$C$4)</f>
        <v/>
      </c>
      <c r="F43" s="26" t="str">
        <f aca="false">IF($B43="","",IF($C43=0,"Listed — not weighed",IF($E43&lt;0,"NEITHER — negative weight",IF($E43&gt;=Settings!$B$19,Settings!$B$6,IF($E43&gt;Settings!$B$14,"NEITHER — over bench capacity",IF($E43&gt;=2*Settings!$B$12,Settings!$B$11,"NEITHER — under bench resolution"))))))</f>
        <v/>
      </c>
      <c r="G43" s="25" t="str">
        <f aca="false">IF($B43="","",IF($F43=Settings!$B$6,MAX(2*Settings!$B$7,Settings!$B$4*$E43),IF($F43=Settings!$B$11,MAX(2*Settings!$B$12,Settings!$B$4*$E43),"")))</f>
        <v/>
      </c>
      <c r="H43" s="27" t="str">
        <f aca="false">IF($B43="","",IF(LEFT($F43,6)="Listed","Quantity 0: shown on the station as a reminder, not weighed. Give it a weight to weigh it.",IF(LEFT($F43,7)="NEITHER","Cannot be weighed — split it, premix it, or raise the batch size",IF($G43&gt;Settings!$B$4*$E43+0.0001,"Held to the scale's resolution, not "&amp;TEXT(Settings!$B$4,"0%"),""))))</f>
        <v/>
      </c>
    </row>
    <row r="44" customFormat="false" ht="15" hidden="false" customHeight="false" outlineLevel="0" collapsed="false">
      <c r="A44" s="21" t="str">
        <f aca="false">IF($B44="","",36)</f>
        <v/>
      </c>
      <c r="B44" s="22"/>
      <c r="C44" s="23"/>
      <c r="D44" s="24" t="str">
        <f aca="false">IF($B44="","",$C44/1000)</f>
        <v/>
      </c>
      <c r="E44" s="25" t="str">
        <f aca="false">IF($B44="","",$D44*$C$4)</f>
        <v/>
      </c>
      <c r="F44" s="26" t="str">
        <f aca="false">IF($B44="","",IF($C44=0,"Listed — not weighed",IF($E44&lt;0,"NEITHER — negative weight",IF($E44&gt;=Settings!$B$19,Settings!$B$6,IF($E44&gt;Settings!$B$14,"NEITHER — over bench capacity",IF($E44&gt;=2*Settings!$B$12,Settings!$B$11,"NEITHER — under bench resolution"))))))</f>
        <v/>
      </c>
      <c r="G44" s="25" t="str">
        <f aca="false">IF($B44="","",IF($F44=Settings!$B$6,MAX(2*Settings!$B$7,Settings!$B$4*$E44),IF($F44=Settings!$B$11,MAX(2*Settings!$B$12,Settings!$B$4*$E44),"")))</f>
        <v/>
      </c>
      <c r="H44" s="27" t="str">
        <f aca="false">IF($B44="","",IF(LEFT($F44,6)="Listed","Quantity 0: shown on the station as a reminder, not weighed. Give it a weight to weigh it.",IF(LEFT($F44,7)="NEITHER","Cannot be weighed — split it, premix it, or raise the batch size",IF($G44&gt;Settings!$B$4*$E44+0.0001,"Held to the scale's resolution, not "&amp;TEXT(Settings!$B$4,"0%"),""))))</f>
        <v/>
      </c>
    </row>
    <row r="45" customFormat="false" ht="15" hidden="false" customHeight="false" outlineLevel="0" collapsed="false">
      <c r="A45" s="21" t="str">
        <f aca="false">IF($B45="","",37)</f>
        <v/>
      </c>
      <c r="B45" s="22"/>
      <c r="C45" s="23"/>
      <c r="D45" s="24" t="str">
        <f aca="false">IF($B45="","",$C45/1000)</f>
        <v/>
      </c>
      <c r="E45" s="25" t="str">
        <f aca="false">IF($B45="","",$D45*$C$4)</f>
        <v/>
      </c>
      <c r="F45" s="26" t="str">
        <f aca="false">IF($B45="","",IF($C45=0,"Listed — not weighed",IF($E45&lt;0,"NEITHER — negative weight",IF($E45&gt;=Settings!$B$19,Settings!$B$6,IF($E45&gt;Settings!$B$14,"NEITHER — over bench capacity",IF($E45&gt;=2*Settings!$B$12,Settings!$B$11,"NEITHER — under bench resolution"))))))</f>
        <v/>
      </c>
      <c r="G45" s="25" t="str">
        <f aca="false">IF($B45="","",IF($F45=Settings!$B$6,MAX(2*Settings!$B$7,Settings!$B$4*$E45),IF($F45=Settings!$B$11,MAX(2*Settings!$B$12,Settings!$B$4*$E45),"")))</f>
        <v/>
      </c>
      <c r="H45" s="27" t="str">
        <f aca="false">IF($B45="","",IF(LEFT($F45,6)="Listed","Quantity 0: shown on the station as a reminder, not weighed. Give it a weight to weigh it.",IF(LEFT($F45,7)="NEITHER","Cannot be weighed — split it, premix it, or raise the batch size",IF($G45&gt;Settings!$B$4*$E45+0.0001,"Held to the scale's resolution, not "&amp;TEXT(Settings!$B$4,"0%"),""))))</f>
        <v/>
      </c>
    </row>
    <row r="46" customFormat="false" ht="15" hidden="false" customHeight="false" outlineLevel="0" collapsed="false">
      <c r="A46" s="21" t="str">
        <f aca="false">IF($B46="","",38)</f>
        <v/>
      </c>
      <c r="B46" s="22"/>
      <c r="C46" s="23"/>
      <c r="D46" s="24" t="str">
        <f aca="false">IF($B46="","",$C46/1000)</f>
        <v/>
      </c>
      <c r="E46" s="25" t="str">
        <f aca="false">IF($B46="","",$D46*$C$4)</f>
        <v/>
      </c>
      <c r="F46" s="26" t="str">
        <f aca="false">IF($B46="","",IF($C46=0,"Listed — not weighed",IF($E46&lt;0,"NEITHER — negative weight",IF($E46&gt;=Settings!$B$19,Settings!$B$6,IF($E46&gt;Settings!$B$14,"NEITHER — over bench capacity",IF($E46&gt;=2*Settings!$B$12,Settings!$B$11,"NEITHER — under bench resolution"))))))</f>
        <v/>
      </c>
      <c r="G46" s="25" t="str">
        <f aca="false">IF($B46="","",IF($F46=Settings!$B$6,MAX(2*Settings!$B$7,Settings!$B$4*$E46),IF($F46=Settings!$B$11,MAX(2*Settings!$B$12,Settings!$B$4*$E46),"")))</f>
        <v/>
      </c>
      <c r="H46" s="27" t="str">
        <f aca="false">IF($B46="","",IF(LEFT($F46,6)="Listed","Quantity 0: shown on the station as a reminder, not weighed. Give it a weight to weigh it.",IF(LEFT($F46,7)="NEITHER","Cannot be weighed — split it, premix it, or raise the batch size",IF($G46&gt;Settings!$B$4*$E46+0.0001,"Held to the scale's resolution, not "&amp;TEXT(Settings!$B$4,"0%"),""))))</f>
        <v/>
      </c>
    </row>
    <row r="47" customFormat="false" ht="15" hidden="false" customHeight="false" outlineLevel="0" collapsed="false">
      <c r="A47" s="21" t="str">
        <f aca="false">IF($B47="","",39)</f>
        <v/>
      </c>
      <c r="B47" s="22"/>
      <c r="C47" s="23"/>
      <c r="D47" s="24" t="str">
        <f aca="false">IF($B47="","",$C47/1000)</f>
        <v/>
      </c>
      <c r="E47" s="25" t="str">
        <f aca="false">IF($B47="","",$D47*$C$4)</f>
        <v/>
      </c>
      <c r="F47" s="26" t="str">
        <f aca="false">IF($B47="","",IF($C47=0,"Listed — not weighed",IF($E47&lt;0,"NEITHER — negative weight",IF($E47&gt;=Settings!$B$19,Settings!$B$6,IF($E47&gt;Settings!$B$14,"NEITHER — over bench capacity",IF($E47&gt;=2*Settings!$B$12,Settings!$B$11,"NEITHER — under bench resolution"))))))</f>
        <v/>
      </c>
      <c r="G47" s="25" t="str">
        <f aca="false">IF($B47="","",IF($F47=Settings!$B$6,MAX(2*Settings!$B$7,Settings!$B$4*$E47),IF($F47=Settings!$B$11,MAX(2*Settings!$B$12,Settings!$B$4*$E47),"")))</f>
        <v/>
      </c>
      <c r="H47" s="27" t="str">
        <f aca="false">IF($B47="","",IF(LEFT($F47,6)="Listed","Quantity 0: shown on the station as a reminder, not weighed. Give it a weight to weigh it.",IF(LEFT($F47,7)="NEITHER","Cannot be weighed — split it, premix it, or raise the batch size",IF($G47&gt;Settings!$B$4*$E47+0.0001,"Held to the scale's resolution, not "&amp;TEXT(Settings!$B$4,"0%"),""))))</f>
        <v/>
      </c>
    </row>
    <row r="48" customFormat="false" ht="15" hidden="false" customHeight="false" outlineLevel="0" collapsed="false">
      <c r="A48" s="21" t="str">
        <f aca="false">IF($B48="","",40)</f>
        <v/>
      </c>
      <c r="B48" s="22"/>
      <c r="C48" s="23"/>
      <c r="D48" s="24" t="str">
        <f aca="false">IF($B48="","",$C48/1000)</f>
        <v/>
      </c>
      <c r="E48" s="25" t="str">
        <f aca="false">IF($B48="","",$D48*$C$4)</f>
        <v/>
      </c>
      <c r="F48" s="26" t="str">
        <f aca="false">IF($B48="","",IF($C48=0,"Listed — not weighed",IF($E48&lt;0,"NEITHER — negative weight",IF($E48&gt;=Settings!$B$19,Settings!$B$6,IF($E48&gt;Settings!$B$14,"NEITHER — over bench capacity",IF($E48&gt;=2*Settings!$B$12,Settings!$B$11,"NEITHER — under bench resolution"))))))</f>
        <v/>
      </c>
      <c r="G48" s="25" t="str">
        <f aca="false">IF($B48="","",IF($F48=Settings!$B$6,MAX(2*Settings!$B$7,Settings!$B$4*$E48),IF($F48=Settings!$B$11,MAX(2*Settings!$B$12,Settings!$B$4*$E48),"")))</f>
        <v/>
      </c>
      <c r="H48" s="27" t="str">
        <f aca="false">IF($B48="","",IF(LEFT($F48,6)="Listed","Quantity 0: shown on the station as a reminder, not weighed. Give it a weight to weigh it.",IF(LEFT($F48,7)="NEITHER","Cannot be weighed — split it, premix it, or raise the batch size",IF($G48&gt;Settings!$B$4*$E48+0.0001,"Held to the scale's resolution, not "&amp;TEXT(Settings!$B$4,"0%"),""))))</f>
        <v/>
      </c>
    </row>
    <row r="50" customFormat="false" ht="15" hidden="false" customHeight="false" outlineLevel="0" collapsed="false">
      <c r="B50" s="17" t="s">
        <v>67</v>
      </c>
      <c r="C50" s="28" t="n">
        <f aca="false">SUM(C9:C48)</f>
        <v>15</v>
      </c>
      <c r="D50" s="29" t="n">
        <f aca="false">SUM(D9:D48)</f>
        <v>0.015</v>
      </c>
      <c r="E50" s="28" t="n">
        <f aca="false">SUM(E9:E48)</f>
        <v>48</v>
      </c>
    </row>
    <row r="51" customFormat="false" ht="15" hidden="false" customHeight="false" outlineLevel="0" collapsed="false">
      <c r="B51" s="5" t="s">
        <v>68</v>
      </c>
      <c r="E51" s="30" t="n">
        <f aca="false">$C$4+E50</f>
        <v>3248</v>
      </c>
    </row>
    <row r="53" customFormat="false" ht="15" hidden="false" customHeight="false" outlineLevel="0" collapsed="false">
      <c r="B53" s="15" t="str">
        <f aca="false">IF(COUNTIF($F$9:$F$48,"NEITHER*")=0,"All ingredients can be weighed.","WARNING: "&amp;COUNTIF($F$9:$F$48,"NEITHER*")&amp;" ingredient(s) cannot be weighed on either scale — see the Note column.")</f>
        <v>All ingredients can be weighed.</v>
      </c>
      <c r="C53" s="15"/>
      <c r="D53" s="15"/>
      <c r="E53" s="15"/>
      <c r="F53" s="15"/>
      <c r="G53" s="15"/>
      <c r="H53" s="15"/>
    </row>
  </sheetData>
  <mergeCells count="15">
    <mergeCell ref="A1:H1"/>
    <mergeCell ref="A2:H2"/>
    <mergeCell ref="A3:B3"/>
    <mergeCell ref="D3:H3"/>
    <mergeCell ref="A4:B4"/>
    <mergeCell ref="D4:H4"/>
    <mergeCell ref="A5:B5"/>
    <mergeCell ref="D5:E5"/>
    <mergeCell ref="F5:H5"/>
    <mergeCell ref="A6:B6"/>
    <mergeCell ref="D6:E6"/>
    <mergeCell ref="F6:H6"/>
    <mergeCell ref="A7:B7"/>
    <mergeCell ref="D7:H7"/>
    <mergeCell ref="B53:H53"/>
  </mergeCells>
  <conditionalFormatting sqref="B53:H53">
    <cfRule type="expression" priority="2" aboveAverage="0" equalAverage="0" bottom="0" percent="0" rank="0" text="" dxfId="0">
      <formula>LEFT($B$53,5)="ERROR"</formula>
    </cfRule>
  </conditionalFormatting>
  <conditionalFormatting sqref="A9:H48">
    <cfRule type="expression" priority="3" aboveAverage="0" equalAverage="0" bottom="0" percent="0" rank="0" text="" dxfId="1">
      <formula>LEFT($F9,7)="NEITHER"</formula>
    </cfRule>
    <cfRule type="expression" priority="4" aboveAverage="0" equalAverage="0" bottom="0" percent="0" rank="0" text="" dxfId="2">
      <formula>AND($B9&lt;&gt;"",$H9&lt;&gt;"")</formula>
    </cfRule>
  </conditionalFormatting>
  <dataValidations count="1">
    <dataValidation allowBlank="true" errorStyle="stop" operator="between" showDropDown="false" showErrorMessage="false" showInputMessage="false" sqref="B9:B48" type="list">
      <formula1>IngredientList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6"/>
    <col collapsed="false" customWidth="true" hidden="false" outlineLevel="0" max="4" min="4" style="0" width="11"/>
    <col collapsed="false" customWidth="true" hidden="false" outlineLevel="0" max="5" min="5" style="0" width="16"/>
    <col collapsed="false" customWidth="true" hidden="false" outlineLevel="0" max="6" min="6" style="0" width="18"/>
    <col collapsed="false" customWidth="true" hidden="false" outlineLevel="0" max="7" min="7" style="0" width="13"/>
    <col collapsed="false" customWidth="true" hidden="false" outlineLevel="0" max="8" min="8" style="0" width="46"/>
  </cols>
  <sheetData>
    <row r="1" customFormat="false" ht="17.35" hidden="false" customHeight="false" outlineLevel="0" collapsed="false">
      <c r="A1" s="1" t="s">
        <v>69</v>
      </c>
      <c r="B1" s="1"/>
      <c r="C1" s="1"/>
      <c r="D1" s="1"/>
      <c r="E1" s="1"/>
      <c r="F1" s="1"/>
      <c r="G1" s="1"/>
      <c r="H1" s="1"/>
    </row>
    <row r="2" customFormat="false" ht="15" hidden="false" customHeight="false" outlineLevel="0" collapsed="false">
      <c r="A2" s="2" t="s">
        <v>44</v>
      </c>
      <c r="B2" s="2"/>
      <c r="C2" s="2"/>
      <c r="D2" s="2"/>
      <c r="E2" s="2"/>
      <c r="F2" s="2"/>
      <c r="G2" s="2"/>
      <c r="H2" s="2"/>
    </row>
    <row r="3" customFormat="false" ht="15" hidden="false" customHeight="false" outlineLevel="0" collapsed="false">
      <c r="A3" s="16" t="s">
        <v>45</v>
      </c>
      <c r="B3" s="16"/>
      <c r="C3" s="17" t="s">
        <v>46</v>
      </c>
      <c r="D3" s="2" t="s">
        <v>47</v>
      </c>
      <c r="E3" s="2"/>
      <c r="F3" s="2"/>
      <c r="G3" s="2"/>
      <c r="H3" s="2"/>
    </row>
    <row r="4" customFormat="false" ht="15" hidden="false" customHeight="false" outlineLevel="0" collapsed="false">
      <c r="A4" s="16" t="s">
        <v>48</v>
      </c>
      <c r="B4" s="16"/>
      <c r="C4" s="18" t="n">
        <v>3200</v>
      </c>
      <c r="D4" s="2" t="s">
        <v>49</v>
      </c>
      <c r="E4" s="2"/>
      <c r="F4" s="2"/>
      <c r="G4" s="2"/>
      <c r="H4" s="2"/>
    </row>
    <row r="5" customFormat="false" ht="15" hidden="false" customHeight="false" outlineLevel="0" collapsed="false">
      <c r="A5" s="16" t="s">
        <v>50</v>
      </c>
      <c r="B5" s="16"/>
      <c r="C5" s="8" t="s">
        <v>70</v>
      </c>
      <c r="D5" s="16" t="s">
        <v>52</v>
      </c>
      <c r="E5" s="16"/>
      <c r="F5" s="19" t="s">
        <v>53</v>
      </c>
      <c r="G5" s="19"/>
      <c r="H5" s="19"/>
    </row>
    <row r="6" customFormat="false" ht="15" hidden="false" customHeight="false" outlineLevel="0" collapsed="false">
      <c r="A6" s="16" t="s">
        <v>54</v>
      </c>
      <c r="B6" s="16"/>
      <c r="C6" s="8"/>
      <c r="D6" s="16" t="s">
        <v>55</v>
      </c>
      <c r="E6" s="16"/>
      <c r="F6" s="19"/>
      <c r="G6" s="19"/>
      <c r="H6" s="19"/>
    </row>
    <row r="7" customFormat="false" ht="15" hidden="false" customHeight="false" outlineLevel="0" collapsed="false">
      <c r="A7" s="16" t="s">
        <v>56</v>
      </c>
      <c r="B7" s="16"/>
      <c r="C7" s="8"/>
      <c r="D7" s="2" t="s">
        <v>57</v>
      </c>
      <c r="E7" s="2"/>
      <c r="F7" s="2"/>
      <c r="G7" s="2"/>
      <c r="H7" s="2"/>
    </row>
    <row r="8" customFormat="false" ht="23.85" hidden="false" customHeight="false" outlineLevel="0" collapsed="false">
      <c r="A8" s="20" t="s">
        <v>58</v>
      </c>
      <c r="B8" s="20" t="s">
        <v>59</v>
      </c>
      <c r="C8" s="20" t="s">
        <v>60</v>
      </c>
      <c r="D8" s="20" t="s">
        <v>61</v>
      </c>
      <c r="E8" s="20" t="s">
        <v>62</v>
      </c>
      <c r="F8" s="20" t="s">
        <v>63</v>
      </c>
      <c r="G8" s="20" t="s">
        <v>64</v>
      </c>
      <c r="H8" s="20" t="s">
        <v>65</v>
      </c>
    </row>
    <row r="9" customFormat="false" ht="15" hidden="false" customHeight="false" outlineLevel="0" collapsed="false">
      <c r="A9" s="21" t="n">
        <f aca="false">IF($B9="","",1)</f>
        <v>1</v>
      </c>
      <c r="B9" s="22" t="s">
        <v>71</v>
      </c>
      <c r="C9" s="23" t="n">
        <v>73</v>
      </c>
      <c r="D9" s="24" t="n">
        <f aca="false">IF($B9="","",$C9/1000)</f>
        <v>0.073</v>
      </c>
      <c r="E9" s="25" t="n">
        <f aca="false">IF($B9="","",$D9*$C$4)</f>
        <v>233.6</v>
      </c>
      <c r="F9" s="26" t="str">
        <f aca="false">IF($B9="","",IF($C9=0,"Listed — not weighed",IF($E9&lt;0,"NEITHER — negative weight",IF($E9&gt;=Settings!$B$19,Settings!$B$6,IF($E9&gt;Settings!$B$14,"NEITHER — over bench capacity",IF($E9&gt;=2*Settings!$B$12,Settings!$B$11,"NEITHER — under bench resolution"))))))</f>
        <v>Main scale</v>
      </c>
      <c r="G9" s="25" t="n">
        <f aca="false">IF($B9="","",IF($F9=Settings!$B$6,MAX(2*Settings!$B$7,Settings!$B$4*$E9),IF($F9=Settings!$B$11,MAX(2*Settings!$B$12,Settings!$B$4*$E9),"")))</f>
        <v>4.672</v>
      </c>
      <c r="H9" s="27" t="str">
        <f aca="false">IF($B9="","",IF(LEFT($F9,6)="Listed","Quantity 0: shown on the station as a reminder, not weighed. Give it a weight to weigh it.",IF(LEFT($F9,7)="NEITHER","Cannot be weighed — split it, premix it, or raise the batch size",IF($G9&gt;Settings!$B$4*$E9+0.0001,"Held to the scale's resolution, not "&amp;TEXT(Settings!$B$4,"0%"),""))))</f>
        <v/>
      </c>
    </row>
    <row r="10" customFormat="false" ht="15" hidden="false" customHeight="false" outlineLevel="0" collapsed="false">
      <c r="A10" s="21" t="n">
        <f aca="false">IF($B10="","",2)</f>
        <v>2</v>
      </c>
      <c r="B10" s="22" t="s">
        <v>72</v>
      </c>
      <c r="C10" s="23" t="n">
        <v>46.4</v>
      </c>
      <c r="D10" s="24" t="n">
        <f aca="false">IF($B10="","",$C10/1000)</f>
        <v>0.0464</v>
      </c>
      <c r="E10" s="25" t="n">
        <f aca="false">IF($B10="","",$D10*$C$4)</f>
        <v>148.48</v>
      </c>
      <c r="F10" s="26" t="str">
        <f aca="false">IF($B10="","",IF($C10=0,"Listed — not weighed",IF($E10&lt;0,"NEITHER — negative weight",IF($E10&gt;=Settings!$B$19,Settings!$B$6,IF($E10&gt;Settings!$B$14,"NEITHER — over bench capacity",IF($E10&gt;=2*Settings!$B$12,Settings!$B$11,"NEITHER — under bench resolution"))))))</f>
        <v>Main scale</v>
      </c>
      <c r="G10" s="25" t="n">
        <f aca="false">IF($B10="","",IF($F10=Settings!$B$6,MAX(2*Settings!$B$7,Settings!$B$4*$E10),IF($F10=Settings!$B$11,MAX(2*Settings!$B$12,Settings!$B$4*$E10),"")))</f>
        <v>2.9696</v>
      </c>
      <c r="H10" s="27" t="str">
        <f aca="false">IF($B10="","",IF(LEFT($F10,6)="Listed","Quantity 0: shown on the station as a reminder, not weighed. Give it a weight to weigh it.",IF(LEFT($F10,7)="NEITHER","Cannot be weighed — split it, premix it, or raise the batch size",IF($G10&gt;Settings!$B$4*$E10+0.0001,"Held to the scale's resolution, not "&amp;TEXT(Settings!$B$4,"0%"),""))))</f>
        <v/>
      </c>
    </row>
    <row r="11" customFormat="false" ht="15" hidden="false" customHeight="false" outlineLevel="0" collapsed="false">
      <c r="A11" s="21" t="n">
        <f aca="false">IF($B11="","",3)</f>
        <v>3</v>
      </c>
      <c r="B11" s="22" t="s">
        <v>73</v>
      </c>
      <c r="C11" s="23" t="n">
        <v>42</v>
      </c>
      <c r="D11" s="24" t="n">
        <f aca="false">IF($B11="","",$C11/1000)</f>
        <v>0.042</v>
      </c>
      <c r="E11" s="25" t="n">
        <f aca="false">IF($B11="","",$D11*$C$4)</f>
        <v>134.4</v>
      </c>
      <c r="F11" s="26" t="str">
        <f aca="false">IF($B11="","",IF($C11=0,"Listed — not weighed",IF($E11&lt;0,"NEITHER — negative weight",IF($E11&gt;=Settings!$B$19,Settings!$B$6,IF($E11&gt;Settings!$B$14,"NEITHER — over bench capacity",IF($E11&gt;=2*Settings!$B$12,Settings!$B$11,"NEITHER — under bench resolution"))))))</f>
        <v>Main scale</v>
      </c>
      <c r="G11" s="25" t="n">
        <f aca="false">IF($B11="","",IF($F11=Settings!$B$6,MAX(2*Settings!$B$7,Settings!$B$4*$E11),IF($F11=Settings!$B$11,MAX(2*Settings!$B$12,Settings!$B$4*$E11),"")))</f>
        <v>2.688</v>
      </c>
      <c r="H11" s="27" t="str">
        <f aca="false">IF($B11="","",IF(LEFT($F11,6)="Listed","Quantity 0: shown on the station as a reminder, not weighed. Give it a weight to weigh it.",IF(LEFT($F11,7)="NEITHER","Cannot be weighed — split it, premix it, or raise the batch size",IF($G11&gt;Settings!$B$4*$E11+0.0001,"Held to the scale's resolution, not "&amp;TEXT(Settings!$B$4,"0%"),""))))</f>
        <v/>
      </c>
    </row>
    <row r="12" customFormat="false" ht="15" hidden="false" customHeight="false" outlineLevel="0" collapsed="false">
      <c r="A12" s="21" t="n">
        <f aca="false">IF($B12="","",4)</f>
        <v>4</v>
      </c>
      <c r="B12" s="22" t="s">
        <v>74</v>
      </c>
      <c r="C12" s="23" t="n">
        <v>25.4</v>
      </c>
      <c r="D12" s="24" t="n">
        <f aca="false">IF($B12="","",$C12/1000)</f>
        <v>0.0254</v>
      </c>
      <c r="E12" s="25" t="n">
        <f aca="false">IF($B12="","",$D12*$C$4)</f>
        <v>81.28</v>
      </c>
      <c r="F12" s="26" t="str">
        <f aca="false">IF($B12="","",IF($C12=0,"Listed — not weighed",IF($E12&lt;0,"NEITHER — negative weight",IF($E12&gt;=Settings!$B$19,Settings!$B$6,IF($E12&gt;Settings!$B$14,"NEITHER — over bench capacity",IF($E12&gt;=2*Settings!$B$12,Settings!$B$11,"NEITHER — under bench resolution"))))))</f>
        <v>Main scale</v>
      </c>
      <c r="G12" s="25" t="n">
        <f aca="false">IF($B12="","",IF($F12=Settings!$B$6,MAX(2*Settings!$B$7,Settings!$B$4*$E12),IF($F12=Settings!$B$11,MAX(2*Settings!$B$12,Settings!$B$4*$E12),"")))</f>
        <v>2</v>
      </c>
      <c r="H12" s="27" t="str">
        <f aca="false">IF($B12="","",IF(LEFT($F12,6)="Listed","Quantity 0: shown on the station as a reminder, not weighed. Give it a weight to weigh it.",IF(LEFT($F12,7)="NEITHER","Cannot be weighed — split it, premix it, or raise the batch size",IF($G12&gt;Settings!$B$4*$E12+0.0001,"Held to the scale's resolution, not "&amp;TEXT(Settings!$B$4,"0%"),""))))</f>
        <v>Held to the scale's resolution, not 2%</v>
      </c>
    </row>
    <row r="13" customFormat="false" ht="15" hidden="false" customHeight="false" outlineLevel="0" collapsed="false">
      <c r="A13" s="21" t="n">
        <f aca="false">IF($B13="","",5)</f>
        <v>5</v>
      </c>
      <c r="B13" s="22" t="s">
        <v>66</v>
      </c>
      <c r="C13" s="23" t="n">
        <v>25.4</v>
      </c>
      <c r="D13" s="24" t="n">
        <f aca="false">IF($B13="","",$C13/1000)</f>
        <v>0.0254</v>
      </c>
      <c r="E13" s="25" t="n">
        <f aca="false">IF($B13="","",$D13*$C$4)</f>
        <v>81.28</v>
      </c>
      <c r="F13" s="26" t="str">
        <f aca="false">IF($B13="","",IF($C13=0,"Listed — not weighed",IF($E13&lt;0,"NEITHER — negative weight",IF($E13&gt;=Settings!$B$19,Settings!$B$6,IF($E13&gt;Settings!$B$14,"NEITHER — over bench capacity",IF($E13&gt;=2*Settings!$B$12,Settings!$B$11,"NEITHER — under bench resolution"))))))</f>
        <v>Main scale</v>
      </c>
      <c r="G13" s="25" t="n">
        <f aca="false">IF($B13="","",IF($F13=Settings!$B$6,MAX(2*Settings!$B$7,Settings!$B$4*$E13),IF($F13=Settings!$B$11,MAX(2*Settings!$B$12,Settings!$B$4*$E13),"")))</f>
        <v>2</v>
      </c>
      <c r="H13" s="27" t="str">
        <f aca="false">IF($B13="","",IF(LEFT($F13,6)="Listed","Quantity 0: shown on the station as a reminder, not weighed. Give it a weight to weigh it.",IF(LEFT($F13,7)="NEITHER","Cannot be weighed — split it, premix it, or raise the batch size",IF($G13&gt;Settings!$B$4*$E13+0.0001,"Held to the scale's resolution, not "&amp;TEXT(Settings!$B$4,"0%"),""))))</f>
        <v>Held to the scale's resolution, not 2%</v>
      </c>
    </row>
    <row r="14" customFormat="false" ht="15" hidden="false" customHeight="false" outlineLevel="0" collapsed="false">
      <c r="A14" s="21" t="n">
        <f aca="false">IF($B14="","",6)</f>
        <v>6</v>
      </c>
      <c r="B14" s="22" t="s">
        <v>75</v>
      </c>
      <c r="C14" s="23" t="n">
        <v>2</v>
      </c>
      <c r="D14" s="24" t="n">
        <f aca="false">IF($B14="","",$C14/1000)</f>
        <v>0.002</v>
      </c>
      <c r="E14" s="25" t="n">
        <f aca="false">IF($B14="","",$D14*$C$4)</f>
        <v>6.4</v>
      </c>
      <c r="F14" s="26" t="str">
        <f aca="false">IF($B14="","",IF($C14=0,"Listed — not weighed",IF($E14&lt;0,"NEITHER — negative weight",IF($E14&gt;=Settings!$B$19,Settings!$B$6,IF($E14&gt;Settings!$B$14,"NEITHER — over bench capacity",IF($E14&gt;=2*Settings!$B$12,Settings!$B$11,"NEITHER — under bench resolution"))))))</f>
        <v>Main scale</v>
      </c>
      <c r="G14" s="25" t="n">
        <f aca="false">IF($B14="","",IF($F14=Settings!$B$6,MAX(2*Settings!$B$7,Settings!$B$4*$E14),IF($F14=Settings!$B$11,MAX(2*Settings!$B$12,Settings!$B$4*$E14),"")))</f>
        <v>2</v>
      </c>
      <c r="H14" s="27" t="str">
        <f aca="false">IF($B14="","",IF(LEFT($F14,6)="Listed","Quantity 0: shown on the station as a reminder, not weighed. Give it a weight to weigh it.",IF(LEFT($F14,7)="NEITHER","Cannot be weighed — split it, premix it, or raise the batch size",IF($G14&gt;Settings!$B$4*$E14+0.0001,"Held to the scale's resolution, not "&amp;TEXT(Settings!$B$4,"0%"),""))))</f>
        <v>Held to the scale's resolution, not 2%</v>
      </c>
    </row>
    <row r="15" customFormat="false" ht="15" hidden="false" customHeight="false" outlineLevel="0" collapsed="false">
      <c r="A15" s="21" t="n">
        <f aca="false">IF($B15="","",7)</f>
        <v>7</v>
      </c>
      <c r="B15" s="22" t="s">
        <v>76</v>
      </c>
      <c r="C15" s="23" t="n">
        <v>23.2</v>
      </c>
      <c r="D15" s="24" t="n">
        <f aca="false">IF($B15="","",$C15/1000)</f>
        <v>0.0232</v>
      </c>
      <c r="E15" s="25" t="n">
        <f aca="false">IF($B15="","",$D15*$C$4)</f>
        <v>74.24</v>
      </c>
      <c r="F15" s="26" t="str">
        <f aca="false">IF($B15="","",IF($C15=0,"Listed — not weighed",IF($E15&lt;0,"NEITHER — negative weight",IF($E15&gt;=Settings!$B$19,Settings!$B$6,IF($E15&gt;Settings!$B$14,"NEITHER — over bench capacity",IF($E15&gt;=2*Settings!$B$12,Settings!$B$11,"NEITHER — under bench resolution"))))))</f>
        <v>Main scale</v>
      </c>
      <c r="G15" s="25" t="n">
        <f aca="false">IF($B15="","",IF($F15=Settings!$B$6,MAX(2*Settings!$B$7,Settings!$B$4*$E15),IF($F15=Settings!$B$11,MAX(2*Settings!$B$12,Settings!$B$4*$E15),"")))</f>
        <v>2</v>
      </c>
      <c r="H15" s="27" t="str">
        <f aca="false">IF($B15="","",IF(LEFT($F15,6)="Listed","Quantity 0: shown on the station as a reminder, not weighed. Give it a weight to weigh it.",IF(LEFT($F15,7)="NEITHER","Cannot be weighed — split it, premix it, or raise the batch size",IF($G15&gt;Settings!$B$4*$E15+0.0001,"Held to the scale's resolution, not "&amp;TEXT(Settings!$B$4,"0%"),""))))</f>
        <v>Held to the scale's resolution, not 2%</v>
      </c>
    </row>
    <row r="16" customFormat="false" ht="15" hidden="false" customHeight="false" outlineLevel="0" collapsed="false">
      <c r="A16" s="21" t="n">
        <f aca="false">IF($B16="","",8)</f>
        <v>8</v>
      </c>
      <c r="B16" s="22" t="s">
        <v>77</v>
      </c>
      <c r="C16" s="23" t="n">
        <v>7.5</v>
      </c>
      <c r="D16" s="24" t="n">
        <f aca="false">IF($B16="","",$C16/1000)</f>
        <v>0.0075</v>
      </c>
      <c r="E16" s="25" t="n">
        <f aca="false">IF($B16="","",$D16*$C$4)</f>
        <v>24</v>
      </c>
      <c r="F16" s="26" t="str">
        <f aca="false">IF($B16="","",IF($C16=0,"Listed — not weighed",IF($E16&lt;0,"NEITHER — negative weight",IF($E16&gt;=Settings!$B$19,Settings!$B$6,IF($E16&gt;Settings!$B$14,"NEITHER — over bench capacity",IF($E16&gt;=2*Settings!$B$12,Settings!$B$11,"NEITHER — under bench resolution"))))))</f>
        <v>Main scale</v>
      </c>
      <c r="G16" s="25" t="n">
        <f aca="false">IF($B16="","",IF($F16=Settings!$B$6,MAX(2*Settings!$B$7,Settings!$B$4*$E16),IF($F16=Settings!$B$11,MAX(2*Settings!$B$12,Settings!$B$4*$E16),"")))</f>
        <v>2</v>
      </c>
      <c r="H16" s="27" t="str">
        <f aca="false">IF($B16="","",IF(LEFT($F16,6)="Listed","Quantity 0: shown on the station as a reminder, not weighed. Give it a weight to weigh it.",IF(LEFT($F16,7)="NEITHER","Cannot be weighed — split it, premix it, or raise the batch size",IF($G16&gt;Settings!$B$4*$E16+0.0001,"Held to the scale's resolution, not "&amp;TEXT(Settings!$B$4,"0%"),""))))</f>
        <v>Held to the scale's resolution, not 2%</v>
      </c>
    </row>
    <row r="17" customFormat="false" ht="15" hidden="false" customHeight="false" outlineLevel="0" collapsed="false">
      <c r="A17" s="21" t="n">
        <f aca="false">IF($B17="","",9)</f>
        <v>9</v>
      </c>
      <c r="B17" s="22" t="s">
        <v>78</v>
      </c>
      <c r="C17" s="23" t="n">
        <v>4.5</v>
      </c>
      <c r="D17" s="24" t="n">
        <f aca="false">IF($B17="","",$C17/1000)</f>
        <v>0.0045</v>
      </c>
      <c r="E17" s="25" t="n">
        <f aca="false">IF($B17="","",$D17*$C$4)</f>
        <v>14.4</v>
      </c>
      <c r="F17" s="26" t="str">
        <f aca="false">IF($B17="","",IF($C17=0,"Listed — not weighed",IF($E17&lt;0,"NEITHER — negative weight",IF($E17&gt;=Settings!$B$19,Settings!$B$6,IF($E17&gt;Settings!$B$14,"NEITHER — over bench capacity",IF($E17&gt;=2*Settings!$B$12,Settings!$B$11,"NEITHER — under bench resolution"))))))</f>
        <v>Main scale</v>
      </c>
      <c r="G17" s="25" t="n">
        <f aca="false">IF($B17="","",IF($F17=Settings!$B$6,MAX(2*Settings!$B$7,Settings!$B$4*$E17),IF($F17=Settings!$B$11,MAX(2*Settings!$B$12,Settings!$B$4*$E17),"")))</f>
        <v>2</v>
      </c>
      <c r="H17" s="27" t="str">
        <f aca="false">IF($B17="","",IF(LEFT($F17,6)="Listed","Quantity 0: shown on the station as a reminder, not weighed. Give it a weight to weigh it.",IF(LEFT($F17,7)="NEITHER","Cannot be weighed — split it, premix it, or raise the batch size",IF($G17&gt;Settings!$B$4*$E17+0.0001,"Held to the scale's resolution, not "&amp;TEXT(Settings!$B$4,"0%"),""))))</f>
        <v>Held to the scale's resolution, not 2%</v>
      </c>
    </row>
    <row r="18" customFormat="false" ht="15" hidden="false" customHeight="false" outlineLevel="0" collapsed="false">
      <c r="A18" s="21" t="n">
        <f aca="false">IF($B18="","",10)</f>
        <v>10</v>
      </c>
      <c r="B18" s="22" t="s">
        <v>79</v>
      </c>
      <c r="C18" s="23" t="n">
        <v>1</v>
      </c>
      <c r="D18" s="24" t="n">
        <f aca="false">IF($B18="","",$C18/1000)</f>
        <v>0.001</v>
      </c>
      <c r="E18" s="25" t="n">
        <f aca="false">IF($B18="","",$D18*$C$4)</f>
        <v>3.2</v>
      </c>
      <c r="F18" s="26" t="str">
        <f aca="false">IF($B18="","",IF($C18=0,"Listed — not weighed",IF($E18&lt;0,"NEITHER — negative weight",IF($E18&gt;=Settings!$B$19,Settings!$B$6,IF($E18&gt;Settings!$B$14,"NEITHER — over bench capacity",IF($E18&gt;=2*Settings!$B$12,Settings!$B$11,"NEITHER — under bench resolution"))))))</f>
        <v>Small scale</v>
      </c>
      <c r="G18" s="25" t="n">
        <f aca="false">IF($B18="","",IF($F18=Settings!$B$6,MAX(2*Settings!$B$7,Settings!$B$4*$E18),IF($F18=Settings!$B$11,MAX(2*Settings!$B$12,Settings!$B$4*$E18),"")))</f>
        <v>0.2</v>
      </c>
      <c r="H18" s="27" t="str">
        <f aca="false">IF($B18="","",IF(LEFT($F18,6)="Listed","Quantity 0: shown on the station as a reminder, not weighed. Give it a weight to weigh it.",IF(LEFT($F18,7)="NEITHER","Cannot be weighed — split it, premix it, or raise the batch size",IF($G18&gt;Settings!$B$4*$E18+0.0001,"Held to the scale's resolution, not "&amp;TEXT(Settings!$B$4,"0%"),""))))</f>
        <v>Held to the scale's resolution, not 2%</v>
      </c>
    </row>
    <row r="19" customFormat="false" ht="15" hidden="false" customHeight="false" outlineLevel="0" collapsed="false">
      <c r="A19" s="21" t="n">
        <f aca="false">IF($B19="","",11)</f>
        <v>11</v>
      </c>
      <c r="B19" s="22" t="s">
        <v>80</v>
      </c>
      <c r="C19" s="23" t="n">
        <v>1.1</v>
      </c>
      <c r="D19" s="24" t="n">
        <f aca="false">IF($B19="","",$C19/1000)</f>
        <v>0.0011</v>
      </c>
      <c r="E19" s="25" t="n">
        <f aca="false">IF($B19="","",$D19*$C$4)</f>
        <v>3.52</v>
      </c>
      <c r="F19" s="26" t="str">
        <f aca="false">IF($B19="","",IF($C19=0,"Listed — not weighed",IF($E19&lt;0,"NEITHER — negative weight",IF($E19&gt;=Settings!$B$19,Settings!$B$6,IF($E19&gt;Settings!$B$14,"NEITHER — over bench capacity",IF($E19&gt;=2*Settings!$B$12,Settings!$B$11,"NEITHER — under bench resolution"))))))</f>
        <v>Small scale</v>
      </c>
      <c r="G19" s="25" t="n">
        <f aca="false">IF($B19="","",IF($F19=Settings!$B$6,MAX(2*Settings!$B$7,Settings!$B$4*$E19),IF($F19=Settings!$B$11,MAX(2*Settings!$B$12,Settings!$B$4*$E19),"")))</f>
        <v>0.2</v>
      </c>
      <c r="H19" s="27" t="str">
        <f aca="false">IF($B19="","",IF(LEFT($F19,6)="Listed","Quantity 0: shown on the station as a reminder, not weighed. Give it a weight to weigh it.",IF(LEFT($F19,7)="NEITHER","Cannot be weighed — split it, premix it, or raise the batch size",IF($G19&gt;Settings!$B$4*$E19+0.0001,"Held to the scale's resolution, not "&amp;TEXT(Settings!$B$4,"0%"),""))))</f>
        <v>Held to the scale's resolution, not 2%</v>
      </c>
    </row>
    <row r="20" customFormat="false" ht="15" hidden="false" customHeight="false" outlineLevel="0" collapsed="false">
      <c r="A20" s="21" t="n">
        <f aca="false">IF($B20="","",12)</f>
        <v>12</v>
      </c>
      <c r="B20" s="22" t="s">
        <v>81</v>
      </c>
      <c r="C20" s="23" t="n">
        <v>1.4</v>
      </c>
      <c r="D20" s="24" t="n">
        <f aca="false">IF($B20="","",$C20/1000)</f>
        <v>0.0014</v>
      </c>
      <c r="E20" s="25" t="n">
        <f aca="false">IF($B20="","",$D20*$C$4)</f>
        <v>4.48</v>
      </c>
      <c r="F20" s="26" t="str">
        <f aca="false">IF($B20="","",IF($C20=0,"Listed — not weighed",IF($E20&lt;0,"NEITHER — negative weight",IF($E20&gt;=Settings!$B$19,Settings!$B$6,IF($E20&gt;Settings!$B$14,"NEITHER — over bench capacity",IF($E20&gt;=2*Settings!$B$12,Settings!$B$11,"NEITHER — under bench resolution"))))))</f>
        <v>Main scale</v>
      </c>
      <c r="G20" s="25" t="n">
        <f aca="false">IF($B20="","",IF($F20=Settings!$B$6,MAX(2*Settings!$B$7,Settings!$B$4*$E20),IF($F20=Settings!$B$11,MAX(2*Settings!$B$12,Settings!$B$4*$E20),"")))</f>
        <v>2</v>
      </c>
      <c r="H20" s="27" t="str">
        <f aca="false">IF($B20="","",IF(LEFT($F20,6)="Listed","Quantity 0: shown on the station as a reminder, not weighed. Give it a weight to weigh it.",IF(LEFT($F20,7)="NEITHER","Cannot be weighed — split it, premix it, or raise the batch size",IF($G20&gt;Settings!$B$4*$E20+0.0001,"Held to the scale's resolution, not "&amp;TEXT(Settings!$B$4,"0%"),""))))</f>
        <v>Held to the scale's resolution, not 2%</v>
      </c>
    </row>
    <row r="21" customFormat="false" ht="15" hidden="false" customHeight="false" outlineLevel="0" collapsed="false">
      <c r="A21" s="21" t="n">
        <f aca="false">IF($B21="","",13)</f>
        <v>13</v>
      </c>
      <c r="B21" s="22" t="s">
        <v>82</v>
      </c>
      <c r="C21" s="23" t="n">
        <v>1.3</v>
      </c>
      <c r="D21" s="24" t="n">
        <f aca="false">IF($B21="","",$C21/1000)</f>
        <v>0.0013</v>
      </c>
      <c r="E21" s="25" t="n">
        <f aca="false">IF($B21="","",$D21*$C$4)</f>
        <v>4.16</v>
      </c>
      <c r="F21" s="26" t="str">
        <f aca="false">IF($B21="","",IF($C21=0,"Listed — not weighed",IF($E21&lt;0,"NEITHER — negative weight",IF($E21&gt;=Settings!$B$19,Settings!$B$6,IF($E21&gt;Settings!$B$14,"NEITHER — over bench capacity",IF($E21&gt;=2*Settings!$B$12,Settings!$B$11,"NEITHER — under bench resolution"))))))</f>
        <v>Main scale</v>
      </c>
      <c r="G21" s="25" t="n">
        <f aca="false">IF($B21="","",IF($F21=Settings!$B$6,MAX(2*Settings!$B$7,Settings!$B$4*$E21),IF($F21=Settings!$B$11,MAX(2*Settings!$B$12,Settings!$B$4*$E21),"")))</f>
        <v>2</v>
      </c>
      <c r="H21" s="27" t="str">
        <f aca="false">IF($B21="","",IF(LEFT($F21,6)="Listed","Quantity 0: shown on the station as a reminder, not weighed. Give it a weight to weigh it.",IF(LEFT($F21,7)="NEITHER","Cannot be weighed — split it, premix it, or raise the batch size",IF($G21&gt;Settings!$B$4*$E21+0.0001,"Held to the scale's resolution, not "&amp;TEXT(Settings!$B$4,"0%"),""))))</f>
        <v>Held to the scale's resolution, not 2%</v>
      </c>
    </row>
    <row r="22" customFormat="false" ht="15" hidden="false" customHeight="false" outlineLevel="0" collapsed="false">
      <c r="A22" s="21" t="n">
        <f aca="false">IF($B22="","",14)</f>
        <v>14</v>
      </c>
      <c r="B22" s="22" t="s">
        <v>83</v>
      </c>
      <c r="C22" s="23" t="n">
        <v>0.6</v>
      </c>
      <c r="D22" s="24" t="n">
        <f aca="false">IF($B22="","",$C22/1000)</f>
        <v>0.0006</v>
      </c>
      <c r="E22" s="25" t="n">
        <f aca="false">IF($B22="","",$D22*$C$4)</f>
        <v>1.92</v>
      </c>
      <c r="F22" s="26" t="str">
        <f aca="false">IF($B22="","",IF($C22=0,"Listed — not weighed",IF($E22&lt;0,"NEITHER — negative weight",IF($E22&gt;=Settings!$B$19,Settings!$B$6,IF($E22&gt;Settings!$B$14,"NEITHER — over bench capacity",IF($E22&gt;=2*Settings!$B$12,Settings!$B$11,"NEITHER — under bench resolution"))))))</f>
        <v>Small scale</v>
      </c>
      <c r="G22" s="25" t="n">
        <f aca="false">IF($B22="","",IF($F22=Settings!$B$6,MAX(2*Settings!$B$7,Settings!$B$4*$E22),IF($F22=Settings!$B$11,MAX(2*Settings!$B$12,Settings!$B$4*$E22),"")))</f>
        <v>0.2</v>
      </c>
      <c r="H22" s="27" t="str">
        <f aca="false">IF($B22="","",IF(LEFT($F22,6)="Listed","Quantity 0: shown on the station as a reminder, not weighed. Give it a weight to weigh it.",IF(LEFT($F22,7)="NEITHER","Cannot be weighed — split it, premix it, or raise the batch size",IF($G22&gt;Settings!$B$4*$E22+0.0001,"Held to the scale's resolution, not "&amp;TEXT(Settings!$B$4,"0%"),""))))</f>
        <v>Held to the scale's resolution, not 2%</v>
      </c>
    </row>
    <row r="23" customFormat="false" ht="15" hidden="false" customHeight="false" outlineLevel="0" collapsed="false">
      <c r="A23" s="21" t="n">
        <f aca="false">IF($B23="","",15)</f>
        <v>15</v>
      </c>
      <c r="B23" s="22" t="s">
        <v>84</v>
      </c>
      <c r="C23" s="23" t="n">
        <v>0.25</v>
      </c>
      <c r="D23" s="24" t="n">
        <f aca="false">IF($B23="","",$C23/1000)</f>
        <v>0.00025</v>
      </c>
      <c r="E23" s="25" t="n">
        <f aca="false">IF($B23="","",$D23*$C$4)</f>
        <v>0.8</v>
      </c>
      <c r="F23" s="26" t="str">
        <f aca="false">IF($B23="","",IF($C23=0,"Listed — not weighed",IF($E23&lt;0,"NEITHER — negative weight",IF($E23&gt;=Settings!$B$19,Settings!$B$6,IF($E23&gt;Settings!$B$14,"NEITHER — over bench capacity",IF($E23&gt;=2*Settings!$B$12,Settings!$B$11,"NEITHER — under bench resolution"))))))</f>
        <v>Small scale</v>
      </c>
      <c r="G23" s="25" t="n">
        <f aca="false">IF($B23="","",IF($F23=Settings!$B$6,MAX(2*Settings!$B$7,Settings!$B$4*$E23),IF($F23=Settings!$B$11,MAX(2*Settings!$B$12,Settings!$B$4*$E23),"")))</f>
        <v>0.2</v>
      </c>
      <c r="H23" s="27" t="str">
        <f aca="false">IF($B23="","",IF(LEFT($F23,6)="Listed","Quantity 0: shown on the station as a reminder, not weighed. Give it a weight to weigh it.",IF(LEFT($F23,7)="NEITHER","Cannot be weighed — split it, premix it, or raise the batch size",IF($G23&gt;Settings!$B$4*$E23+0.0001,"Held to the scale's resolution, not "&amp;TEXT(Settings!$B$4,"0%"),""))))</f>
        <v>Held to the scale's resolution, not 2%</v>
      </c>
    </row>
    <row r="24" customFormat="false" ht="15" hidden="false" customHeight="false" outlineLevel="0" collapsed="false">
      <c r="A24" s="21" t="n">
        <f aca="false">IF($B24="","",16)</f>
        <v>16</v>
      </c>
      <c r="B24" s="22" t="s">
        <v>85</v>
      </c>
      <c r="C24" s="23" t="n">
        <v>0</v>
      </c>
      <c r="D24" s="24" t="n">
        <f aca="false">IF($B24="","",$C24/1000)</f>
        <v>0</v>
      </c>
      <c r="E24" s="25" t="n">
        <f aca="false">IF($B24="","",$D24*$C$4)</f>
        <v>0</v>
      </c>
      <c r="F24" s="26" t="str">
        <f aca="false">IF($B24="","",IF($C24=0,"Listed — not weighed",IF($E24&lt;0,"NEITHER — negative weight",IF($E24&gt;=Settings!$B$19,Settings!$B$6,IF($E24&gt;Settings!$B$14,"NEITHER — over bench capacity",IF($E24&gt;=2*Settings!$B$12,Settings!$B$11,"NEITHER — under bench resolution"))))))</f>
        <v>Listed — not weighed</v>
      </c>
      <c r="G24" s="25" t="str">
        <f aca="false">IF($B24="","",IF($F24=Settings!$B$6,MAX(2*Settings!$B$7,Settings!$B$4*$E24),IF($F24=Settings!$B$11,MAX(2*Settings!$B$12,Settings!$B$4*$E24),"")))</f>
        <v/>
      </c>
      <c r="H24" s="27" t="str">
        <f aca="false">IF($B24="","",IF(LEFT($F24,6)="Listed","Quantity 0: shown on the station as a reminder, not weighed. Give it a weight to weigh it.",IF(LEFT($F24,7)="NEITHER","Cannot be weighed — split it, premix it, or raise the batch size",IF($G24&gt;Settings!$B$4*$E24+0.0001,"Held to the scale's resolution, not "&amp;TEXT(Settings!$B$4,"0%"),""))))</f>
        <v>Quantity 0: shown on the station as a reminder, not weighed. Give it a weight to weigh it.</v>
      </c>
    </row>
    <row r="25" customFormat="false" ht="15" hidden="false" customHeight="false" outlineLevel="0" collapsed="false">
      <c r="A25" s="21" t="str">
        <f aca="false">IF($B25="","",17)</f>
        <v/>
      </c>
      <c r="B25" s="22"/>
      <c r="C25" s="23"/>
      <c r="D25" s="24" t="str">
        <f aca="false">IF($B25="","",$C25/1000)</f>
        <v/>
      </c>
      <c r="E25" s="25" t="str">
        <f aca="false">IF($B25="","",$D25*$C$4)</f>
        <v/>
      </c>
      <c r="F25" s="26" t="str">
        <f aca="false">IF($B25="","",IF($C25=0,"Listed — not weighed",IF($E25&lt;0,"NEITHER — negative weight",IF($E25&gt;=Settings!$B$19,Settings!$B$6,IF($E25&gt;Settings!$B$14,"NEITHER — over bench capacity",IF($E25&gt;=2*Settings!$B$12,Settings!$B$11,"NEITHER — under bench resolution"))))))</f>
        <v/>
      </c>
      <c r="G25" s="25" t="str">
        <f aca="false">IF($B25="","",IF($F25=Settings!$B$6,MAX(2*Settings!$B$7,Settings!$B$4*$E25),IF($F25=Settings!$B$11,MAX(2*Settings!$B$12,Settings!$B$4*$E25),"")))</f>
        <v/>
      </c>
      <c r="H25" s="27" t="str">
        <f aca="false">IF($B25="","",IF(LEFT($F25,6)="Listed","Quantity 0: shown on the station as a reminder, not weighed. Give it a weight to weigh it.",IF(LEFT($F25,7)="NEITHER","Cannot be weighed — split it, premix it, or raise the batch size",IF($G25&gt;Settings!$B$4*$E25+0.0001,"Held to the scale's resolution, not "&amp;TEXT(Settings!$B$4,"0%"),""))))</f>
        <v/>
      </c>
    </row>
    <row r="26" customFormat="false" ht="15" hidden="false" customHeight="false" outlineLevel="0" collapsed="false">
      <c r="A26" s="21" t="str">
        <f aca="false">IF($B26="","",18)</f>
        <v/>
      </c>
      <c r="B26" s="22"/>
      <c r="C26" s="23"/>
      <c r="D26" s="24" t="str">
        <f aca="false">IF($B26="","",$C26/1000)</f>
        <v/>
      </c>
      <c r="E26" s="25" t="str">
        <f aca="false">IF($B26="","",$D26*$C$4)</f>
        <v/>
      </c>
      <c r="F26" s="26" t="str">
        <f aca="false">IF($B26="","",IF($C26=0,"Listed — not weighed",IF($E26&lt;0,"NEITHER — negative weight",IF($E26&gt;=Settings!$B$19,Settings!$B$6,IF($E26&gt;Settings!$B$14,"NEITHER — over bench capacity",IF($E26&gt;=2*Settings!$B$12,Settings!$B$11,"NEITHER — under bench resolution"))))))</f>
        <v/>
      </c>
      <c r="G26" s="25" t="str">
        <f aca="false">IF($B26="","",IF($F26=Settings!$B$6,MAX(2*Settings!$B$7,Settings!$B$4*$E26),IF($F26=Settings!$B$11,MAX(2*Settings!$B$12,Settings!$B$4*$E26),"")))</f>
        <v/>
      </c>
      <c r="H26" s="27" t="str">
        <f aca="false">IF($B26="","",IF(LEFT($F26,6)="Listed","Quantity 0: shown on the station as a reminder, not weighed. Give it a weight to weigh it.",IF(LEFT($F26,7)="NEITHER","Cannot be weighed — split it, premix it, or raise the batch size",IF($G26&gt;Settings!$B$4*$E26+0.0001,"Held to the scale's resolution, not "&amp;TEXT(Settings!$B$4,"0%"),""))))</f>
        <v/>
      </c>
    </row>
    <row r="27" customFormat="false" ht="15" hidden="false" customHeight="false" outlineLevel="0" collapsed="false">
      <c r="A27" s="21" t="str">
        <f aca="false">IF($B27="","",19)</f>
        <v/>
      </c>
      <c r="B27" s="22"/>
      <c r="C27" s="23"/>
      <c r="D27" s="24" t="str">
        <f aca="false">IF($B27="","",$C27/1000)</f>
        <v/>
      </c>
      <c r="E27" s="25" t="str">
        <f aca="false">IF($B27="","",$D27*$C$4)</f>
        <v/>
      </c>
      <c r="F27" s="26" t="str">
        <f aca="false">IF($B27="","",IF($C27=0,"Listed — not weighed",IF($E27&lt;0,"NEITHER — negative weight",IF($E27&gt;=Settings!$B$19,Settings!$B$6,IF($E27&gt;Settings!$B$14,"NEITHER — over bench capacity",IF($E27&gt;=2*Settings!$B$12,Settings!$B$11,"NEITHER — under bench resolution"))))))</f>
        <v/>
      </c>
      <c r="G27" s="25" t="str">
        <f aca="false">IF($B27="","",IF($F27=Settings!$B$6,MAX(2*Settings!$B$7,Settings!$B$4*$E27),IF($F27=Settings!$B$11,MAX(2*Settings!$B$12,Settings!$B$4*$E27),"")))</f>
        <v/>
      </c>
      <c r="H27" s="27" t="str">
        <f aca="false">IF($B27="","",IF(LEFT($F27,6)="Listed","Quantity 0: shown on the station as a reminder, not weighed. Give it a weight to weigh it.",IF(LEFT($F27,7)="NEITHER","Cannot be weighed — split it, premix it, or raise the batch size",IF($G27&gt;Settings!$B$4*$E27+0.0001,"Held to the scale's resolution, not "&amp;TEXT(Settings!$B$4,"0%"),""))))</f>
        <v/>
      </c>
    </row>
    <row r="28" customFormat="false" ht="15" hidden="false" customHeight="false" outlineLevel="0" collapsed="false">
      <c r="A28" s="21" t="str">
        <f aca="false">IF($B28="","",20)</f>
        <v/>
      </c>
      <c r="B28" s="22"/>
      <c r="C28" s="23"/>
      <c r="D28" s="24" t="str">
        <f aca="false">IF($B28="","",$C28/1000)</f>
        <v/>
      </c>
      <c r="E28" s="25" t="str">
        <f aca="false">IF($B28="","",$D28*$C$4)</f>
        <v/>
      </c>
      <c r="F28" s="26" t="str">
        <f aca="false">IF($B28="","",IF($C28=0,"Listed — not weighed",IF($E28&lt;0,"NEITHER — negative weight",IF($E28&gt;=Settings!$B$19,Settings!$B$6,IF($E28&gt;Settings!$B$14,"NEITHER — over bench capacity",IF($E28&gt;=2*Settings!$B$12,Settings!$B$11,"NEITHER — under bench resolution"))))))</f>
        <v/>
      </c>
      <c r="G28" s="25" t="str">
        <f aca="false">IF($B28="","",IF($F28=Settings!$B$6,MAX(2*Settings!$B$7,Settings!$B$4*$E28),IF($F28=Settings!$B$11,MAX(2*Settings!$B$12,Settings!$B$4*$E28),"")))</f>
        <v/>
      </c>
      <c r="H28" s="27" t="str">
        <f aca="false">IF($B28="","",IF(LEFT($F28,6)="Listed","Quantity 0: shown on the station as a reminder, not weighed. Give it a weight to weigh it.",IF(LEFT($F28,7)="NEITHER","Cannot be weighed — split it, premix it, or raise the batch size",IF($G28&gt;Settings!$B$4*$E28+0.0001,"Held to the scale's resolution, not "&amp;TEXT(Settings!$B$4,"0%"),""))))</f>
        <v/>
      </c>
    </row>
    <row r="29" customFormat="false" ht="15" hidden="false" customHeight="false" outlineLevel="0" collapsed="false">
      <c r="A29" s="21" t="str">
        <f aca="false">IF($B29="","",21)</f>
        <v/>
      </c>
      <c r="B29" s="22"/>
      <c r="C29" s="23"/>
      <c r="D29" s="24" t="str">
        <f aca="false">IF($B29="","",$C29/1000)</f>
        <v/>
      </c>
      <c r="E29" s="25" t="str">
        <f aca="false">IF($B29="","",$D29*$C$4)</f>
        <v/>
      </c>
      <c r="F29" s="26" t="str">
        <f aca="false">IF($B29="","",IF($C29=0,"Listed — not weighed",IF($E29&lt;0,"NEITHER — negative weight",IF($E29&gt;=Settings!$B$19,Settings!$B$6,IF($E29&gt;Settings!$B$14,"NEITHER — over bench capacity",IF($E29&gt;=2*Settings!$B$12,Settings!$B$11,"NEITHER — under bench resolution"))))))</f>
        <v/>
      </c>
      <c r="G29" s="25" t="str">
        <f aca="false">IF($B29="","",IF($F29=Settings!$B$6,MAX(2*Settings!$B$7,Settings!$B$4*$E29),IF($F29=Settings!$B$11,MAX(2*Settings!$B$12,Settings!$B$4*$E29),"")))</f>
        <v/>
      </c>
      <c r="H29" s="27" t="str">
        <f aca="false">IF($B29="","",IF(LEFT($F29,6)="Listed","Quantity 0: shown on the station as a reminder, not weighed. Give it a weight to weigh it.",IF(LEFT($F29,7)="NEITHER","Cannot be weighed — split it, premix it, or raise the batch size",IF($G29&gt;Settings!$B$4*$E29+0.0001,"Held to the scale's resolution, not "&amp;TEXT(Settings!$B$4,"0%"),""))))</f>
        <v/>
      </c>
    </row>
    <row r="30" customFormat="false" ht="15" hidden="false" customHeight="false" outlineLevel="0" collapsed="false">
      <c r="A30" s="21" t="str">
        <f aca="false">IF($B30="","",22)</f>
        <v/>
      </c>
      <c r="B30" s="22"/>
      <c r="C30" s="23"/>
      <c r="D30" s="24" t="str">
        <f aca="false">IF($B30="","",$C30/1000)</f>
        <v/>
      </c>
      <c r="E30" s="25" t="str">
        <f aca="false">IF($B30="","",$D30*$C$4)</f>
        <v/>
      </c>
      <c r="F30" s="26" t="str">
        <f aca="false">IF($B30="","",IF($C30=0,"Listed — not weighed",IF($E30&lt;0,"NEITHER — negative weight",IF($E30&gt;=Settings!$B$19,Settings!$B$6,IF($E30&gt;Settings!$B$14,"NEITHER — over bench capacity",IF($E30&gt;=2*Settings!$B$12,Settings!$B$11,"NEITHER — under bench resolution"))))))</f>
        <v/>
      </c>
      <c r="G30" s="25" t="str">
        <f aca="false">IF($B30="","",IF($F30=Settings!$B$6,MAX(2*Settings!$B$7,Settings!$B$4*$E30),IF($F30=Settings!$B$11,MAX(2*Settings!$B$12,Settings!$B$4*$E30),"")))</f>
        <v/>
      </c>
      <c r="H30" s="27" t="str">
        <f aca="false">IF($B30="","",IF(LEFT($F30,6)="Listed","Quantity 0: shown on the station as a reminder, not weighed. Give it a weight to weigh it.",IF(LEFT($F30,7)="NEITHER","Cannot be weighed — split it, premix it, or raise the batch size",IF($G30&gt;Settings!$B$4*$E30+0.0001,"Held to the scale's resolution, not "&amp;TEXT(Settings!$B$4,"0%"),""))))</f>
        <v/>
      </c>
    </row>
    <row r="31" customFormat="false" ht="15" hidden="false" customHeight="false" outlineLevel="0" collapsed="false">
      <c r="A31" s="21" t="str">
        <f aca="false">IF($B31="","",23)</f>
        <v/>
      </c>
      <c r="B31" s="22"/>
      <c r="C31" s="23"/>
      <c r="D31" s="24" t="str">
        <f aca="false">IF($B31="","",$C31/1000)</f>
        <v/>
      </c>
      <c r="E31" s="25" t="str">
        <f aca="false">IF($B31="","",$D31*$C$4)</f>
        <v/>
      </c>
      <c r="F31" s="26" t="str">
        <f aca="false">IF($B31="","",IF($C31=0,"Listed — not weighed",IF($E31&lt;0,"NEITHER — negative weight",IF($E31&gt;=Settings!$B$19,Settings!$B$6,IF($E31&gt;Settings!$B$14,"NEITHER — over bench capacity",IF($E31&gt;=2*Settings!$B$12,Settings!$B$11,"NEITHER — under bench resolution"))))))</f>
        <v/>
      </c>
      <c r="G31" s="25" t="str">
        <f aca="false">IF($B31="","",IF($F31=Settings!$B$6,MAX(2*Settings!$B$7,Settings!$B$4*$E31),IF($F31=Settings!$B$11,MAX(2*Settings!$B$12,Settings!$B$4*$E31),"")))</f>
        <v/>
      </c>
      <c r="H31" s="27" t="str">
        <f aca="false">IF($B31="","",IF(LEFT($F31,6)="Listed","Quantity 0: shown on the station as a reminder, not weighed. Give it a weight to weigh it.",IF(LEFT($F31,7)="NEITHER","Cannot be weighed — split it, premix it, or raise the batch size",IF($G31&gt;Settings!$B$4*$E31+0.0001,"Held to the scale's resolution, not "&amp;TEXT(Settings!$B$4,"0%"),""))))</f>
        <v/>
      </c>
    </row>
    <row r="32" customFormat="false" ht="15" hidden="false" customHeight="false" outlineLevel="0" collapsed="false">
      <c r="A32" s="21" t="str">
        <f aca="false">IF($B32="","",24)</f>
        <v/>
      </c>
      <c r="B32" s="22"/>
      <c r="C32" s="23"/>
      <c r="D32" s="24" t="str">
        <f aca="false">IF($B32="","",$C32/1000)</f>
        <v/>
      </c>
      <c r="E32" s="25" t="str">
        <f aca="false">IF($B32="","",$D32*$C$4)</f>
        <v/>
      </c>
      <c r="F32" s="26" t="str">
        <f aca="false">IF($B32="","",IF($C32=0,"Listed — not weighed",IF($E32&lt;0,"NEITHER — negative weight",IF($E32&gt;=Settings!$B$19,Settings!$B$6,IF($E32&gt;Settings!$B$14,"NEITHER — over bench capacity",IF($E32&gt;=2*Settings!$B$12,Settings!$B$11,"NEITHER — under bench resolution"))))))</f>
        <v/>
      </c>
      <c r="G32" s="25" t="str">
        <f aca="false">IF($B32="","",IF($F32=Settings!$B$6,MAX(2*Settings!$B$7,Settings!$B$4*$E32),IF($F32=Settings!$B$11,MAX(2*Settings!$B$12,Settings!$B$4*$E32),"")))</f>
        <v/>
      </c>
      <c r="H32" s="27" t="str">
        <f aca="false">IF($B32="","",IF(LEFT($F32,6)="Listed","Quantity 0: shown on the station as a reminder, not weighed. Give it a weight to weigh it.",IF(LEFT($F32,7)="NEITHER","Cannot be weighed — split it, premix it, or raise the batch size",IF($G32&gt;Settings!$B$4*$E32+0.0001,"Held to the scale's resolution, not "&amp;TEXT(Settings!$B$4,"0%"),""))))</f>
        <v/>
      </c>
    </row>
    <row r="33" customFormat="false" ht="15" hidden="false" customHeight="false" outlineLevel="0" collapsed="false">
      <c r="A33" s="21" t="str">
        <f aca="false">IF($B33="","",25)</f>
        <v/>
      </c>
      <c r="B33" s="22"/>
      <c r="C33" s="23"/>
      <c r="D33" s="24" t="str">
        <f aca="false">IF($B33="","",$C33/1000)</f>
        <v/>
      </c>
      <c r="E33" s="25" t="str">
        <f aca="false">IF($B33="","",$D33*$C$4)</f>
        <v/>
      </c>
      <c r="F33" s="26" t="str">
        <f aca="false">IF($B33="","",IF($C33=0,"Listed — not weighed",IF($E33&lt;0,"NEITHER — negative weight",IF($E33&gt;=Settings!$B$19,Settings!$B$6,IF($E33&gt;Settings!$B$14,"NEITHER — over bench capacity",IF($E33&gt;=2*Settings!$B$12,Settings!$B$11,"NEITHER — under bench resolution"))))))</f>
        <v/>
      </c>
      <c r="G33" s="25" t="str">
        <f aca="false">IF($B33="","",IF($F33=Settings!$B$6,MAX(2*Settings!$B$7,Settings!$B$4*$E33),IF($F33=Settings!$B$11,MAX(2*Settings!$B$12,Settings!$B$4*$E33),"")))</f>
        <v/>
      </c>
      <c r="H33" s="27" t="str">
        <f aca="false">IF($B33="","",IF(LEFT($F33,6)="Listed","Quantity 0: shown on the station as a reminder, not weighed. Give it a weight to weigh it.",IF(LEFT($F33,7)="NEITHER","Cannot be weighed — split it, premix it, or raise the batch size",IF($G33&gt;Settings!$B$4*$E33+0.0001,"Held to the scale's resolution, not "&amp;TEXT(Settings!$B$4,"0%"),""))))</f>
        <v/>
      </c>
    </row>
    <row r="34" customFormat="false" ht="15" hidden="false" customHeight="false" outlineLevel="0" collapsed="false">
      <c r="A34" s="21" t="str">
        <f aca="false">IF($B34="","",26)</f>
        <v/>
      </c>
      <c r="B34" s="22"/>
      <c r="C34" s="23"/>
      <c r="D34" s="24" t="str">
        <f aca="false">IF($B34="","",$C34/1000)</f>
        <v/>
      </c>
      <c r="E34" s="25" t="str">
        <f aca="false">IF($B34="","",$D34*$C$4)</f>
        <v/>
      </c>
      <c r="F34" s="26" t="str">
        <f aca="false">IF($B34="","",IF($C34=0,"Listed — not weighed",IF($E34&lt;0,"NEITHER — negative weight",IF($E34&gt;=Settings!$B$19,Settings!$B$6,IF($E34&gt;Settings!$B$14,"NEITHER — over bench capacity",IF($E34&gt;=2*Settings!$B$12,Settings!$B$11,"NEITHER — under bench resolution"))))))</f>
        <v/>
      </c>
      <c r="G34" s="25" t="str">
        <f aca="false">IF($B34="","",IF($F34=Settings!$B$6,MAX(2*Settings!$B$7,Settings!$B$4*$E34),IF($F34=Settings!$B$11,MAX(2*Settings!$B$12,Settings!$B$4*$E34),"")))</f>
        <v/>
      </c>
      <c r="H34" s="27" t="str">
        <f aca="false">IF($B34="","",IF(LEFT($F34,6)="Listed","Quantity 0: shown on the station as a reminder, not weighed. Give it a weight to weigh it.",IF(LEFT($F34,7)="NEITHER","Cannot be weighed — split it, premix it, or raise the batch size",IF($G34&gt;Settings!$B$4*$E34+0.0001,"Held to the scale's resolution, not "&amp;TEXT(Settings!$B$4,"0%"),""))))</f>
        <v/>
      </c>
    </row>
    <row r="35" customFormat="false" ht="15" hidden="false" customHeight="false" outlineLevel="0" collapsed="false">
      <c r="A35" s="21" t="str">
        <f aca="false">IF($B35="","",27)</f>
        <v/>
      </c>
      <c r="B35" s="22"/>
      <c r="C35" s="23"/>
      <c r="D35" s="24" t="str">
        <f aca="false">IF($B35="","",$C35/1000)</f>
        <v/>
      </c>
      <c r="E35" s="25" t="str">
        <f aca="false">IF($B35="","",$D35*$C$4)</f>
        <v/>
      </c>
      <c r="F35" s="26" t="str">
        <f aca="false">IF($B35="","",IF($C35=0,"Listed — not weighed",IF($E35&lt;0,"NEITHER — negative weight",IF($E35&gt;=Settings!$B$19,Settings!$B$6,IF($E35&gt;Settings!$B$14,"NEITHER — over bench capacity",IF($E35&gt;=2*Settings!$B$12,Settings!$B$11,"NEITHER — under bench resolution"))))))</f>
        <v/>
      </c>
      <c r="G35" s="25" t="str">
        <f aca="false">IF($B35="","",IF($F35=Settings!$B$6,MAX(2*Settings!$B$7,Settings!$B$4*$E35),IF($F35=Settings!$B$11,MAX(2*Settings!$B$12,Settings!$B$4*$E35),"")))</f>
        <v/>
      </c>
      <c r="H35" s="27" t="str">
        <f aca="false">IF($B35="","",IF(LEFT($F35,6)="Listed","Quantity 0: shown on the station as a reminder, not weighed. Give it a weight to weigh it.",IF(LEFT($F35,7)="NEITHER","Cannot be weighed — split it, premix it, or raise the batch size",IF($G35&gt;Settings!$B$4*$E35+0.0001,"Held to the scale's resolution, not "&amp;TEXT(Settings!$B$4,"0%"),""))))</f>
        <v/>
      </c>
    </row>
    <row r="36" customFormat="false" ht="15" hidden="false" customHeight="false" outlineLevel="0" collapsed="false">
      <c r="A36" s="21" t="str">
        <f aca="false">IF($B36="","",28)</f>
        <v/>
      </c>
      <c r="B36" s="22"/>
      <c r="C36" s="23"/>
      <c r="D36" s="24" t="str">
        <f aca="false">IF($B36="","",$C36/1000)</f>
        <v/>
      </c>
      <c r="E36" s="25" t="str">
        <f aca="false">IF($B36="","",$D36*$C$4)</f>
        <v/>
      </c>
      <c r="F36" s="26" t="str">
        <f aca="false">IF($B36="","",IF($C36=0,"Listed — not weighed",IF($E36&lt;0,"NEITHER — negative weight",IF($E36&gt;=Settings!$B$19,Settings!$B$6,IF($E36&gt;Settings!$B$14,"NEITHER — over bench capacity",IF($E36&gt;=2*Settings!$B$12,Settings!$B$11,"NEITHER — under bench resolution"))))))</f>
        <v/>
      </c>
      <c r="G36" s="25" t="str">
        <f aca="false">IF($B36="","",IF($F36=Settings!$B$6,MAX(2*Settings!$B$7,Settings!$B$4*$E36),IF($F36=Settings!$B$11,MAX(2*Settings!$B$12,Settings!$B$4*$E36),"")))</f>
        <v/>
      </c>
      <c r="H36" s="27" t="str">
        <f aca="false">IF($B36="","",IF(LEFT($F36,6)="Listed","Quantity 0: shown on the station as a reminder, not weighed. Give it a weight to weigh it.",IF(LEFT($F36,7)="NEITHER","Cannot be weighed — split it, premix it, or raise the batch size",IF($G36&gt;Settings!$B$4*$E36+0.0001,"Held to the scale's resolution, not "&amp;TEXT(Settings!$B$4,"0%"),""))))</f>
        <v/>
      </c>
    </row>
    <row r="37" customFormat="false" ht="15" hidden="false" customHeight="false" outlineLevel="0" collapsed="false">
      <c r="A37" s="21" t="str">
        <f aca="false">IF($B37="","",29)</f>
        <v/>
      </c>
      <c r="B37" s="22"/>
      <c r="C37" s="23"/>
      <c r="D37" s="24" t="str">
        <f aca="false">IF($B37="","",$C37/1000)</f>
        <v/>
      </c>
      <c r="E37" s="25" t="str">
        <f aca="false">IF($B37="","",$D37*$C$4)</f>
        <v/>
      </c>
      <c r="F37" s="26" t="str">
        <f aca="false">IF($B37="","",IF($C37=0,"Listed — not weighed",IF($E37&lt;0,"NEITHER — negative weight",IF($E37&gt;=Settings!$B$19,Settings!$B$6,IF($E37&gt;Settings!$B$14,"NEITHER — over bench capacity",IF($E37&gt;=2*Settings!$B$12,Settings!$B$11,"NEITHER — under bench resolution"))))))</f>
        <v/>
      </c>
      <c r="G37" s="25" t="str">
        <f aca="false">IF($B37="","",IF($F37=Settings!$B$6,MAX(2*Settings!$B$7,Settings!$B$4*$E37),IF($F37=Settings!$B$11,MAX(2*Settings!$B$12,Settings!$B$4*$E37),"")))</f>
        <v/>
      </c>
      <c r="H37" s="27" t="str">
        <f aca="false">IF($B37="","",IF(LEFT($F37,6)="Listed","Quantity 0: shown on the station as a reminder, not weighed. Give it a weight to weigh it.",IF(LEFT($F37,7)="NEITHER","Cannot be weighed — split it, premix it, or raise the batch size",IF($G37&gt;Settings!$B$4*$E37+0.0001,"Held to the scale's resolution, not "&amp;TEXT(Settings!$B$4,"0%"),""))))</f>
        <v/>
      </c>
    </row>
    <row r="38" customFormat="false" ht="15" hidden="false" customHeight="false" outlineLevel="0" collapsed="false">
      <c r="A38" s="21" t="str">
        <f aca="false">IF($B38="","",30)</f>
        <v/>
      </c>
      <c r="B38" s="22"/>
      <c r="C38" s="23"/>
      <c r="D38" s="24" t="str">
        <f aca="false">IF($B38="","",$C38/1000)</f>
        <v/>
      </c>
      <c r="E38" s="25" t="str">
        <f aca="false">IF($B38="","",$D38*$C$4)</f>
        <v/>
      </c>
      <c r="F38" s="26" t="str">
        <f aca="false">IF($B38="","",IF($C38=0,"Listed — not weighed",IF($E38&lt;0,"NEITHER — negative weight",IF($E38&gt;=Settings!$B$19,Settings!$B$6,IF($E38&gt;Settings!$B$14,"NEITHER — over bench capacity",IF($E38&gt;=2*Settings!$B$12,Settings!$B$11,"NEITHER — under bench resolution"))))))</f>
        <v/>
      </c>
      <c r="G38" s="25" t="str">
        <f aca="false">IF($B38="","",IF($F38=Settings!$B$6,MAX(2*Settings!$B$7,Settings!$B$4*$E38),IF($F38=Settings!$B$11,MAX(2*Settings!$B$12,Settings!$B$4*$E38),"")))</f>
        <v/>
      </c>
      <c r="H38" s="27" t="str">
        <f aca="false">IF($B38="","",IF(LEFT($F38,6)="Listed","Quantity 0: shown on the station as a reminder, not weighed. Give it a weight to weigh it.",IF(LEFT($F38,7)="NEITHER","Cannot be weighed — split it, premix it, or raise the batch size",IF($G38&gt;Settings!$B$4*$E38+0.0001,"Held to the scale's resolution, not "&amp;TEXT(Settings!$B$4,"0%"),""))))</f>
        <v/>
      </c>
    </row>
    <row r="39" customFormat="false" ht="15" hidden="false" customHeight="false" outlineLevel="0" collapsed="false">
      <c r="A39" s="21" t="str">
        <f aca="false">IF($B39="","",31)</f>
        <v/>
      </c>
      <c r="B39" s="22"/>
      <c r="C39" s="23"/>
      <c r="D39" s="24" t="str">
        <f aca="false">IF($B39="","",$C39/1000)</f>
        <v/>
      </c>
      <c r="E39" s="25" t="str">
        <f aca="false">IF($B39="","",$D39*$C$4)</f>
        <v/>
      </c>
      <c r="F39" s="26" t="str">
        <f aca="false">IF($B39="","",IF($C39=0,"Listed — not weighed",IF($E39&lt;0,"NEITHER — negative weight",IF($E39&gt;=Settings!$B$19,Settings!$B$6,IF($E39&gt;Settings!$B$14,"NEITHER — over bench capacity",IF($E39&gt;=2*Settings!$B$12,Settings!$B$11,"NEITHER — under bench resolution"))))))</f>
        <v/>
      </c>
      <c r="G39" s="25" t="str">
        <f aca="false">IF($B39="","",IF($F39=Settings!$B$6,MAX(2*Settings!$B$7,Settings!$B$4*$E39),IF($F39=Settings!$B$11,MAX(2*Settings!$B$12,Settings!$B$4*$E39),"")))</f>
        <v/>
      </c>
      <c r="H39" s="27" t="str">
        <f aca="false">IF($B39="","",IF(LEFT($F39,6)="Listed","Quantity 0: shown on the station as a reminder, not weighed. Give it a weight to weigh it.",IF(LEFT($F39,7)="NEITHER","Cannot be weighed — split it, premix it, or raise the batch size",IF($G39&gt;Settings!$B$4*$E39+0.0001,"Held to the scale's resolution, not "&amp;TEXT(Settings!$B$4,"0%"),""))))</f>
        <v/>
      </c>
    </row>
    <row r="40" customFormat="false" ht="15" hidden="false" customHeight="false" outlineLevel="0" collapsed="false">
      <c r="A40" s="21" t="str">
        <f aca="false">IF($B40="","",32)</f>
        <v/>
      </c>
      <c r="B40" s="22"/>
      <c r="C40" s="23"/>
      <c r="D40" s="24" t="str">
        <f aca="false">IF($B40="","",$C40/1000)</f>
        <v/>
      </c>
      <c r="E40" s="25" t="str">
        <f aca="false">IF($B40="","",$D40*$C$4)</f>
        <v/>
      </c>
      <c r="F40" s="26" t="str">
        <f aca="false">IF($B40="","",IF($C40=0,"Listed — not weighed",IF($E40&lt;0,"NEITHER — negative weight",IF($E40&gt;=Settings!$B$19,Settings!$B$6,IF($E40&gt;Settings!$B$14,"NEITHER — over bench capacity",IF($E40&gt;=2*Settings!$B$12,Settings!$B$11,"NEITHER — under bench resolution"))))))</f>
        <v/>
      </c>
      <c r="G40" s="25" t="str">
        <f aca="false">IF($B40="","",IF($F40=Settings!$B$6,MAX(2*Settings!$B$7,Settings!$B$4*$E40),IF($F40=Settings!$B$11,MAX(2*Settings!$B$12,Settings!$B$4*$E40),"")))</f>
        <v/>
      </c>
      <c r="H40" s="27" t="str">
        <f aca="false">IF($B40="","",IF(LEFT($F40,6)="Listed","Quantity 0: shown on the station as a reminder, not weighed. Give it a weight to weigh it.",IF(LEFT($F40,7)="NEITHER","Cannot be weighed — split it, premix it, or raise the batch size",IF($G40&gt;Settings!$B$4*$E40+0.0001,"Held to the scale's resolution, not "&amp;TEXT(Settings!$B$4,"0%"),""))))</f>
        <v/>
      </c>
    </row>
    <row r="41" customFormat="false" ht="15" hidden="false" customHeight="false" outlineLevel="0" collapsed="false">
      <c r="A41" s="21" t="str">
        <f aca="false">IF($B41="","",33)</f>
        <v/>
      </c>
      <c r="B41" s="22"/>
      <c r="C41" s="23"/>
      <c r="D41" s="24" t="str">
        <f aca="false">IF($B41="","",$C41/1000)</f>
        <v/>
      </c>
      <c r="E41" s="25" t="str">
        <f aca="false">IF($B41="","",$D41*$C$4)</f>
        <v/>
      </c>
      <c r="F41" s="26" t="str">
        <f aca="false">IF($B41="","",IF($C41=0,"Listed — not weighed",IF($E41&lt;0,"NEITHER — negative weight",IF($E41&gt;=Settings!$B$19,Settings!$B$6,IF($E41&gt;Settings!$B$14,"NEITHER — over bench capacity",IF($E41&gt;=2*Settings!$B$12,Settings!$B$11,"NEITHER — under bench resolution"))))))</f>
        <v/>
      </c>
      <c r="G41" s="25" t="str">
        <f aca="false">IF($B41="","",IF($F41=Settings!$B$6,MAX(2*Settings!$B$7,Settings!$B$4*$E41),IF($F41=Settings!$B$11,MAX(2*Settings!$B$12,Settings!$B$4*$E41),"")))</f>
        <v/>
      </c>
      <c r="H41" s="27" t="str">
        <f aca="false">IF($B41="","",IF(LEFT($F41,6)="Listed","Quantity 0: shown on the station as a reminder, not weighed. Give it a weight to weigh it.",IF(LEFT($F41,7)="NEITHER","Cannot be weighed — split it, premix it, or raise the batch size",IF($G41&gt;Settings!$B$4*$E41+0.0001,"Held to the scale's resolution, not "&amp;TEXT(Settings!$B$4,"0%"),""))))</f>
        <v/>
      </c>
    </row>
    <row r="42" customFormat="false" ht="15" hidden="false" customHeight="false" outlineLevel="0" collapsed="false">
      <c r="A42" s="21" t="str">
        <f aca="false">IF($B42="","",34)</f>
        <v/>
      </c>
      <c r="B42" s="22"/>
      <c r="C42" s="23"/>
      <c r="D42" s="24" t="str">
        <f aca="false">IF($B42="","",$C42/1000)</f>
        <v/>
      </c>
      <c r="E42" s="25" t="str">
        <f aca="false">IF($B42="","",$D42*$C$4)</f>
        <v/>
      </c>
      <c r="F42" s="26" t="str">
        <f aca="false">IF($B42="","",IF($C42=0,"Listed — not weighed",IF($E42&lt;0,"NEITHER — negative weight",IF($E42&gt;=Settings!$B$19,Settings!$B$6,IF($E42&gt;Settings!$B$14,"NEITHER — over bench capacity",IF($E42&gt;=2*Settings!$B$12,Settings!$B$11,"NEITHER — under bench resolution"))))))</f>
        <v/>
      </c>
      <c r="G42" s="25" t="str">
        <f aca="false">IF($B42="","",IF($F42=Settings!$B$6,MAX(2*Settings!$B$7,Settings!$B$4*$E42),IF($F42=Settings!$B$11,MAX(2*Settings!$B$12,Settings!$B$4*$E42),"")))</f>
        <v/>
      </c>
      <c r="H42" s="27" t="str">
        <f aca="false">IF($B42="","",IF(LEFT($F42,6)="Listed","Quantity 0: shown on the station as a reminder, not weighed. Give it a weight to weigh it.",IF(LEFT($F42,7)="NEITHER","Cannot be weighed — split it, premix it, or raise the batch size",IF($G42&gt;Settings!$B$4*$E42+0.0001,"Held to the scale's resolution, not "&amp;TEXT(Settings!$B$4,"0%"),""))))</f>
        <v/>
      </c>
    </row>
    <row r="43" customFormat="false" ht="15" hidden="false" customHeight="false" outlineLevel="0" collapsed="false">
      <c r="A43" s="21" t="str">
        <f aca="false">IF($B43="","",35)</f>
        <v/>
      </c>
      <c r="B43" s="22"/>
      <c r="C43" s="23"/>
      <c r="D43" s="24" t="str">
        <f aca="false">IF($B43="","",$C43/1000)</f>
        <v/>
      </c>
      <c r="E43" s="25" t="str">
        <f aca="false">IF($B43="","",$D43*$C$4)</f>
        <v/>
      </c>
      <c r="F43" s="26" t="str">
        <f aca="false">IF($B43="","",IF($C43=0,"Listed — not weighed",IF($E43&lt;0,"NEITHER — negative weight",IF($E43&gt;=Settings!$B$19,Settings!$B$6,IF($E43&gt;Settings!$B$14,"NEITHER — over bench capacity",IF($E43&gt;=2*Settings!$B$12,Settings!$B$11,"NEITHER — under bench resolution"))))))</f>
        <v/>
      </c>
      <c r="G43" s="25" t="str">
        <f aca="false">IF($B43="","",IF($F43=Settings!$B$6,MAX(2*Settings!$B$7,Settings!$B$4*$E43),IF($F43=Settings!$B$11,MAX(2*Settings!$B$12,Settings!$B$4*$E43),"")))</f>
        <v/>
      </c>
      <c r="H43" s="27" t="str">
        <f aca="false">IF($B43="","",IF(LEFT($F43,6)="Listed","Quantity 0: shown on the station as a reminder, not weighed. Give it a weight to weigh it.",IF(LEFT($F43,7)="NEITHER","Cannot be weighed — split it, premix it, or raise the batch size",IF($G43&gt;Settings!$B$4*$E43+0.0001,"Held to the scale's resolution, not "&amp;TEXT(Settings!$B$4,"0%"),""))))</f>
        <v/>
      </c>
    </row>
    <row r="44" customFormat="false" ht="15" hidden="false" customHeight="false" outlineLevel="0" collapsed="false">
      <c r="A44" s="21" t="str">
        <f aca="false">IF($B44="","",36)</f>
        <v/>
      </c>
      <c r="B44" s="22"/>
      <c r="C44" s="23"/>
      <c r="D44" s="24" t="str">
        <f aca="false">IF($B44="","",$C44/1000)</f>
        <v/>
      </c>
      <c r="E44" s="25" t="str">
        <f aca="false">IF($B44="","",$D44*$C$4)</f>
        <v/>
      </c>
      <c r="F44" s="26" t="str">
        <f aca="false">IF($B44="","",IF($C44=0,"Listed — not weighed",IF($E44&lt;0,"NEITHER — negative weight",IF($E44&gt;=Settings!$B$19,Settings!$B$6,IF($E44&gt;Settings!$B$14,"NEITHER — over bench capacity",IF($E44&gt;=2*Settings!$B$12,Settings!$B$11,"NEITHER — under bench resolution"))))))</f>
        <v/>
      </c>
      <c r="G44" s="25" t="str">
        <f aca="false">IF($B44="","",IF($F44=Settings!$B$6,MAX(2*Settings!$B$7,Settings!$B$4*$E44),IF($F44=Settings!$B$11,MAX(2*Settings!$B$12,Settings!$B$4*$E44),"")))</f>
        <v/>
      </c>
      <c r="H44" s="27" t="str">
        <f aca="false">IF($B44="","",IF(LEFT($F44,6)="Listed","Quantity 0: shown on the station as a reminder, not weighed. Give it a weight to weigh it.",IF(LEFT($F44,7)="NEITHER","Cannot be weighed — split it, premix it, or raise the batch size",IF($G44&gt;Settings!$B$4*$E44+0.0001,"Held to the scale's resolution, not "&amp;TEXT(Settings!$B$4,"0%"),""))))</f>
        <v/>
      </c>
    </row>
    <row r="45" customFormat="false" ht="15" hidden="false" customHeight="false" outlineLevel="0" collapsed="false">
      <c r="A45" s="21" t="str">
        <f aca="false">IF($B45="","",37)</f>
        <v/>
      </c>
      <c r="B45" s="22"/>
      <c r="C45" s="23"/>
      <c r="D45" s="24" t="str">
        <f aca="false">IF($B45="","",$C45/1000)</f>
        <v/>
      </c>
      <c r="E45" s="25" t="str">
        <f aca="false">IF($B45="","",$D45*$C$4)</f>
        <v/>
      </c>
      <c r="F45" s="26" t="str">
        <f aca="false">IF($B45="","",IF($C45=0,"Listed — not weighed",IF($E45&lt;0,"NEITHER — negative weight",IF($E45&gt;=Settings!$B$19,Settings!$B$6,IF($E45&gt;Settings!$B$14,"NEITHER — over bench capacity",IF($E45&gt;=2*Settings!$B$12,Settings!$B$11,"NEITHER — under bench resolution"))))))</f>
        <v/>
      </c>
      <c r="G45" s="25" t="str">
        <f aca="false">IF($B45="","",IF($F45=Settings!$B$6,MAX(2*Settings!$B$7,Settings!$B$4*$E45),IF($F45=Settings!$B$11,MAX(2*Settings!$B$12,Settings!$B$4*$E45),"")))</f>
        <v/>
      </c>
      <c r="H45" s="27" t="str">
        <f aca="false">IF($B45="","",IF(LEFT($F45,6)="Listed","Quantity 0: shown on the station as a reminder, not weighed. Give it a weight to weigh it.",IF(LEFT($F45,7)="NEITHER","Cannot be weighed — split it, premix it, or raise the batch size",IF($G45&gt;Settings!$B$4*$E45+0.0001,"Held to the scale's resolution, not "&amp;TEXT(Settings!$B$4,"0%"),""))))</f>
        <v/>
      </c>
    </row>
    <row r="46" customFormat="false" ht="15" hidden="false" customHeight="false" outlineLevel="0" collapsed="false">
      <c r="A46" s="21" t="str">
        <f aca="false">IF($B46="","",38)</f>
        <v/>
      </c>
      <c r="B46" s="22"/>
      <c r="C46" s="23"/>
      <c r="D46" s="24" t="str">
        <f aca="false">IF($B46="","",$C46/1000)</f>
        <v/>
      </c>
      <c r="E46" s="25" t="str">
        <f aca="false">IF($B46="","",$D46*$C$4)</f>
        <v/>
      </c>
      <c r="F46" s="26" t="str">
        <f aca="false">IF($B46="","",IF($C46=0,"Listed — not weighed",IF($E46&lt;0,"NEITHER — negative weight",IF($E46&gt;=Settings!$B$19,Settings!$B$6,IF($E46&gt;Settings!$B$14,"NEITHER — over bench capacity",IF($E46&gt;=2*Settings!$B$12,Settings!$B$11,"NEITHER — under bench resolution"))))))</f>
        <v/>
      </c>
      <c r="G46" s="25" t="str">
        <f aca="false">IF($B46="","",IF($F46=Settings!$B$6,MAX(2*Settings!$B$7,Settings!$B$4*$E46),IF($F46=Settings!$B$11,MAX(2*Settings!$B$12,Settings!$B$4*$E46),"")))</f>
        <v/>
      </c>
      <c r="H46" s="27" t="str">
        <f aca="false">IF($B46="","",IF(LEFT($F46,6)="Listed","Quantity 0: shown on the station as a reminder, not weighed. Give it a weight to weigh it.",IF(LEFT($F46,7)="NEITHER","Cannot be weighed — split it, premix it, or raise the batch size",IF($G46&gt;Settings!$B$4*$E46+0.0001,"Held to the scale's resolution, not "&amp;TEXT(Settings!$B$4,"0%"),""))))</f>
        <v/>
      </c>
    </row>
    <row r="47" customFormat="false" ht="15" hidden="false" customHeight="false" outlineLevel="0" collapsed="false">
      <c r="A47" s="21" t="str">
        <f aca="false">IF($B47="","",39)</f>
        <v/>
      </c>
      <c r="B47" s="22"/>
      <c r="C47" s="23"/>
      <c r="D47" s="24" t="str">
        <f aca="false">IF($B47="","",$C47/1000)</f>
        <v/>
      </c>
      <c r="E47" s="25" t="str">
        <f aca="false">IF($B47="","",$D47*$C$4)</f>
        <v/>
      </c>
      <c r="F47" s="26" t="str">
        <f aca="false">IF($B47="","",IF($C47=0,"Listed — not weighed",IF($E47&lt;0,"NEITHER — negative weight",IF($E47&gt;=Settings!$B$19,Settings!$B$6,IF($E47&gt;Settings!$B$14,"NEITHER — over bench capacity",IF($E47&gt;=2*Settings!$B$12,Settings!$B$11,"NEITHER — under bench resolution"))))))</f>
        <v/>
      </c>
      <c r="G47" s="25" t="str">
        <f aca="false">IF($B47="","",IF($F47=Settings!$B$6,MAX(2*Settings!$B$7,Settings!$B$4*$E47),IF($F47=Settings!$B$11,MAX(2*Settings!$B$12,Settings!$B$4*$E47),"")))</f>
        <v/>
      </c>
      <c r="H47" s="27" t="str">
        <f aca="false">IF($B47="","",IF(LEFT($F47,6)="Listed","Quantity 0: shown on the station as a reminder, not weighed. Give it a weight to weigh it.",IF(LEFT($F47,7)="NEITHER","Cannot be weighed — split it, premix it, or raise the batch size",IF($G47&gt;Settings!$B$4*$E47+0.0001,"Held to the scale's resolution, not "&amp;TEXT(Settings!$B$4,"0%"),""))))</f>
        <v/>
      </c>
    </row>
    <row r="48" customFormat="false" ht="15" hidden="false" customHeight="false" outlineLevel="0" collapsed="false">
      <c r="A48" s="21" t="str">
        <f aca="false">IF($B48="","",40)</f>
        <v/>
      </c>
      <c r="B48" s="22"/>
      <c r="C48" s="23"/>
      <c r="D48" s="24" t="str">
        <f aca="false">IF($B48="","",$C48/1000)</f>
        <v/>
      </c>
      <c r="E48" s="25" t="str">
        <f aca="false">IF($B48="","",$D48*$C$4)</f>
        <v/>
      </c>
      <c r="F48" s="26" t="str">
        <f aca="false">IF($B48="","",IF($C48=0,"Listed — not weighed",IF($E48&lt;0,"NEITHER — negative weight",IF($E48&gt;=Settings!$B$19,Settings!$B$6,IF($E48&gt;Settings!$B$14,"NEITHER — over bench capacity",IF($E48&gt;=2*Settings!$B$12,Settings!$B$11,"NEITHER — under bench resolution"))))))</f>
        <v/>
      </c>
      <c r="G48" s="25" t="str">
        <f aca="false">IF($B48="","",IF($F48=Settings!$B$6,MAX(2*Settings!$B$7,Settings!$B$4*$E48),IF($F48=Settings!$B$11,MAX(2*Settings!$B$12,Settings!$B$4*$E48),"")))</f>
        <v/>
      </c>
      <c r="H48" s="27" t="str">
        <f aca="false">IF($B48="","",IF(LEFT($F48,6)="Listed","Quantity 0: shown on the station as a reminder, not weighed. Give it a weight to weigh it.",IF(LEFT($F48,7)="NEITHER","Cannot be weighed — split it, premix it, or raise the batch size",IF($G48&gt;Settings!$B$4*$E48+0.0001,"Held to the scale's resolution, not "&amp;TEXT(Settings!$B$4,"0%"),""))))</f>
        <v/>
      </c>
    </row>
    <row r="50" customFormat="false" ht="15" hidden="false" customHeight="false" outlineLevel="0" collapsed="false">
      <c r="B50" s="17" t="s">
        <v>67</v>
      </c>
      <c r="C50" s="28" t="n">
        <f aca="false">SUM(C9:C48)</f>
        <v>255.05</v>
      </c>
      <c r="D50" s="29" t="n">
        <f aca="false">SUM(D9:D48)</f>
        <v>0.25505</v>
      </c>
      <c r="E50" s="28" t="n">
        <f aca="false">SUM(E9:E48)</f>
        <v>816.16</v>
      </c>
    </row>
    <row r="51" customFormat="false" ht="15" hidden="false" customHeight="false" outlineLevel="0" collapsed="false">
      <c r="B51" s="5" t="s">
        <v>68</v>
      </c>
      <c r="E51" s="30" t="n">
        <f aca="false">$C$4+E50</f>
        <v>4016.16</v>
      </c>
    </row>
    <row r="53" customFormat="false" ht="15" hidden="false" customHeight="false" outlineLevel="0" collapsed="false">
      <c r="B53" s="15" t="str">
        <f aca="false">IF(COUNTIF($F$9:$F$48,"NEITHER*")=0,"All ingredients can be weighed.","WARNING: "&amp;COUNTIF($F$9:$F$48,"NEITHER*")&amp;" ingredient(s) cannot be weighed on either scale — see the Note column.")</f>
        <v>All ingredients can be weighed.</v>
      </c>
      <c r="C53" s="15"/>
      <c r="D53" s="15"/>
      <c r="E53" s="15"/>
      <c r="F53" s="15"/>
      <c r="G53" s="15"/>
      <c r="H53" s="15"/>
    </row>
    <row r="55" customFormat="false" ht="30" hidden="false" customHeight="true" outlineLevel="0" collapsed="false">
      <c r="B55" s="31" t="s">
        <v>86</v>
      </c>
      <c r="C55" s="31"/>
      <c r="D55" s="31"/>
      <c r="E55" s="31"/>
      <c r="F55" s="31"/>
      <c r="G55" s="31"/>
      <c r="H55" s="31"/>
    </row>
  </sheetData>
  <mergeCells count="16">
    <mergeCell ref="A1:H1"/>
    <mergeCell ref="A2:H2"/>
    <mergeCell ref="A3:B3"/>
    <mergeCell ref="D3:H3"/>
    <mergeCell ref="A4:B4"/>
    <mergeCell ref="D4:H4"/>
    <mergeCell ref="A5:B5"/>
    <mergeCell ref="D5:E5"/>
    <mergeCell ref="F5:H5"/>
    <mergeCell ref="A6:B6"/>
    <mergeCell ref="D6:E6"/>
    <mergeCell ref="F6:H6"/>
    <mergeCell ref="A7:B7"/>
    <mergeCell ref="D7:H7"/>
    <mergeCell ref="B53:H53"/>
    <mergeCell ref="B55:H55"/>
  </mergeCells>
  <conditionalFormatting sqref="B53:H53">
    <cfRule type="expression" priority="2" aboveAverage="0" equalAverage="0" bottom="0" percent="0" rank="0" text="" dxfId="0">
      <formula>LEFT($B$53,5)="ERROR"</formula>
    </cfRule>
  </conditionalFormatting>
  <conditionalFormatting sqref="A9:H48">
    <cfRule type="expression" priority="3" aboveAverage="0" equalAverage="0" bottom="0" percent="0" rank="0" text="" dxfId="1">
      <formula>LEFT($F9,7)="NEITHER"</formula>
    </cfRule>
    <cfRule type="expression" priority="4" aboveAverage="0" equalAverage="0" bottom="0" percent="0" rank="0" text="" dxfId="2">
      <formula>AND($B9&lt;&gt;"",$H9&lt;&gt;"")</formula>
    </cfRule>
  </conditionalFormatting>
  <dataValidations count="1">
    <dataValidation allowBlank="true" errorStyle="stop" operator="between" showDropDown="false" showErrorMessage="false" showInputMessage="false" sqref="B9:B48" type="list">
      <formula1>IngredientList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6"/>
    <col collapsed="false" customWidth="true" hidden="false" outlineLevel="0" max="4" min="4" style="0" width="11"/>
    <col collapsed="false" customWidth="true" hidden="false" outlineLevel="0" max="5" min="5" style="0" width="16"/>
    <col collapsed="false" customWidth="true" hidden="false" outlineLevel="0" max="6" min="6" style="0" width="18"/>
    <col collapsed="false" customWidth="true" hidden="false" outlineLevel="0" max="7" min="7" style="0" width="13"/>
    <col collapsed="false" customWidth="true" hidden="false" outlineLevel="0" max="8" min="8" style="0" width="46"/>
  </cols>
  <sheetData>
    <row r="1" customFormat="false" ht="17.35" hidden="false" customHeight="false" outlineLevel="0" collapsed="false">
      <c r="A1" s="1" t="s">
        <v>87</v>
      </c>
      <c r="B1" s="1"/>
      <c r="C1" s="1"/>
      <c r="D1" s="1"/>
      <c r="E1" s="1"/>
      <c r="F1" s="1"/>
      <c r="G1" s="1"/>
      <c r="H1" s="1"/>
    </row>
    <row r="2" customFormat="false" ht="15" hidden="false" customHeight="false" outlineLevel="0" collapsed="false">
      <c r="A2" s="2" t="s">
        <v>44</v>
      </c>
      <c r="B2" s="2"/>
      <c r="C2" s="2"/>
      <c r="D2" s="2"/>
      <c r="E2" s="2"/>
      <c r="F2" s="2"/>
      <c r="G2" s="2"/>
      <c r="H2" s="2"/>
    </row>
    <row r="3" customFormat="false" ht="15" hidden="false" customHeight="false" outlineLevel="0" collapsed="false">
      <c r="A3" s="16" t="s">
        <v>45</v>
      </c>
      <c r="B3" s="16"/>
      <c r="C3" s="17" t="s">
        <v>46</v>
      </c>
      <c r="D3" s="2" t="s">
        <v>47</v>
      </c>
      <c r="E3" s="2"/>
      <c r="F3" s="2"/>
      <c r="G3" s="2"/>
      <c r="H3" s="2"/>
    </row>
    <row r="4" customFormat="false" ht="15" hidden="false" customHeight="false" outlineLevel="0" collapsed="false">
      <c r="A4" s="16" t="s">
        <v>48</v>
      </c>
      <c r="B4" s="16"/>
      <c r="C4" s="18" t="n">
        <v>3200</v>
      </c>
      <c r="D4" s="2" t="s">
        <v>49</v>
      </c>
      <c r="E4" s="2"/>
      <c r="F4" s="2"/>
      <c r="G4" s="2"/>
      <c r="H4" s="2"/>
    </row>
    <row r="5" customFormat="false" ht="15" hidden="false" customHeight="false" outlineLevel="0" collapsed="false">
      <c r="A5" s="16" t="s">
        <v>50</v>
      </c>
      <c r="B5" s="16"/>
      <c r="C5" s="8" t="s">
        <v>88</v>
      </c>
      <c r="D5" s="16" t="s">
        <v>52</v>
      </c>
      <c r="E5" s="16"/>
      <c r="F5" s="19" t="s">
        <v>53</v>
      </c>
      <c r="G5" s="19"/>
      <c r="H5" s="19"/>
    </row>
    <row r="6" customFormat="false" ht="15" hidden="false" customHeight="false" outlineLevel="0" collapsed="false">
      <c r="A6" s="16" t="s">
        <v>54</v>
      </c>
      <c r="B6" s="16"/>
      <c r="C6" s="8"/>
      <c r="D6" s="16" t="s">
        <v>55</v>
      </c>
      <c r="E6" s="16"/>
      <c r="F6" s="19"/>
      <c r="G6" s="19"/>
      <c r="H6" s="19"/>
    </row>
    <row r="7" customFormat="false" ht="15" hidden="false" customHeight="false" outlineLevel="0" collapsed="false">
      <c r="A7" s="16" t="s">
        <v>56</v>
      </c>
      <c r="B7" s="16"/>
      <c r="C7" s="8"/>
      <c r="D7" s="2" t="s">
        <v>57</v>
      </c>
      <c r="E7" s="2"/>
      <c r="F7" s="2"/>
      <c r="G7" s="2"/>
      <c r="H7" s="2"/>
    </row>
    <row r="8" customFormat="false" ht="23.85" hidden="false" customHeight="false" outlineLevel="0" collapsed="false">
      <c r="A8" s="20" t="s">
        <v>58</v>
      </c>
      <c r="B8" s="20" t="s">
        <v>59</v>
      </c>
      <c r="C8" s="20" t="s">
        <v>60</v>
      </c>
      <c r="D8" s="20" t="s">
        <v>61</v>
      </c>
      <c r="E8" s="20" t="s">
        <v>62</v>
      </c>
      <c r="F8" s="20" t="s">
        <v>63</v>
      </c>
      <c r="G8" s="20" t="s">
        <v>64</v>
      </c>
      <c r="H8" s="20" t="s">
        <v>65</v>
      </c>
    </row>
    <row r="9" customFormat="false" ht="15" hidden="false" customHeight="false" outlineLevel="0" collapsed="false">
      <c r="A9" s="21" t="n">
        <f aca="false">IF($B9="","",1)</f>
        <v>1</v>
      </c>
      <c r="B9" s="22" t="s">
        <v>72</v>
      </c>
      <c r="C9" s="23" t="n">
        <v>127.5</v>
      </c>
      <c r="D9" s="24" t="n">
        <f aca="false">IF($B9="","",$C9/1000)</f>
        <v>0.1275</v>
      </c>
      <c r="E9" s="25" t="n">
        <f aca="false">IF($B9="","",$D9*$C$4)</f>
        <v>408</v>
      </c>
      <c r="F9" s="26" t="str">
        <f aca="false">IF($B9="","",IF($C9=0,"Listed — not weighed",IF($E9&lt;0,"NEITHER — negative weight",IF($E9&gt;=Settings!$B$19,Settings!$B$6,IF($E9&gt;Settings!$B$14,"NEITHER — over bench capacity",IF($E9&gt;=2*Settings!$B$12,Settings!$B$11,"NEITHER — under bench resolution"))))))</f>
        <v>Main scale</v>
      </c>
      <c r="G9" s="25" t="n">
        <f aca="false">IF($B9="","",IF($F9=Settings!$B$6,MAX(2*Settings!$B$7,Settings!$B$4*$E9),IF($F9=Settings!$B$11,MAX(2*Settings!$B$12,Settings!$B$4*$E9),"")))</f>
        <v>8.16</v>
      </c>
      <c r="H9" s="27" t="str">
        <f aca="false">IF($B9="","",IF(LEFT($F9,6)="Listed","Quantity 0: shown on the station as a reminder, not weighed. Give it a weight to weigh it.",IF(LEFT($F9,7)="NEITHER","Cannot be weighed — split it, premix it, or raise the batch size",IF($G9&gt;Settings!$B$4*$E9+0.0001,"Held to the scale's resolution, not "&amp;TEXT(Settings!$B$4,"0%"),""))))</f>
        <v/>
      </c>
    </row>
    <row r="10" customFormat="false" ht="15" hidden="false" customHeight="false" outlineLevel="0" collapsed="false">
      <c r="A10" s="21" t="n">
        <f aca="false">IF($B10="","",2)</f>
        <v>2</v>
      </c>
      <c r="B10" s="22" t="s">
        <v>89</v>
      </c>
      <c r="C10" s="23" t="n">
        <v>100</v>
      </c>
      <c r="D10" s="24" t="n">
        <f aca="false">IF($B10="","",$C10/1000)</f>
        <v>0.1</v>
      </c>
      <c r="E10" s="25" t="n">
        <f aca="false">IF($B10="","",$D10*$C$4)</f>
        <v>320</v>
      </c>
      <c r="F10" s="26" t="str">
        <f aca="false">IF($B10="","",IF($C10=0,"Listed — not weighed",IF($E10&lt;0,"NEITHER — negative weight",IF($E10&gt;=Settings!$B$19,Settings!$B$6,IF($E10&gt;Settings!$B$14,"NEITHER — over bench capacity",IF($E10&gt;=2*Settings!$B$12,Settings!$B$11,"NEITHER — under bench resolution"))))))</f>
        <v>Main scale</v>
      </c>
      <c r="G10" s="25" t="n">
        <f aca="false">IF($B10="","",IF($F10=Settings!$B$6,MAX(2*Settings!$B$7,Settings!$B$4*$E10),IF($F10=Settings!$B$11,MAX(2*Settings!$B$12,Settings!$B$4*$E10),"")))</f>
        <v>6.4</v>
      </c>
      <c r="H10" s="27" t="str">
        <f aca="false">IF($B10="","",IF(LEFT($F10,6)="Listed","Quantity 0: shown on the station as a reminder, not weighed. Give it a weight to weigh it.",IF(LEFT($F10,7)="NEITHER","Cannot be weighed — split it, premix it, or raise the batch size",IF($G10&gt;Settings!$B$4*$E10+0.0001,"Held to the scale's resolution, not "&amp;TEXT(Settings!$B$4,"0%"),""))))</f>
        <v/>
      </c>
    </row>
    <row r="11" customFormat="false" ht="15" hidden="false" customHeight="false" outlineLevel="0" collapsed="false">
      <c r="A11" s="21" t="n">
        <f aca="false">IF($B11="","",3)</f>
        <v>3</v>
      </c>
      <c r="B11" s="22" t="s">
        <v>76</v>
      </c>
      <c r="C11" s="23" t="n">
        <v>40</v>
      </c>
      <c r="D11" s="24" t="n">
        <f aca="false">IF($B11="","",$C11/1000)</f>
        <v>0.04</v>
      </c>
      <c r="E11" s="25" t="n">
        <f aca="false">IF($B11="","",$D11*$C$4)</f>
        <v>128</v>
      </c>
      <c r="F11" s="26" t="str">
        <f aca="false">IF($B11="","",IF($C11=0,"Listed — not weighed",IF($E11&lt;0,"NEITHER — negative weight",IF($E11&gt;=Settings!$B$19,Settings!$B$6,IF($E11&gt;Settings!$B$14,"NEITHER — over bench capacity",IF($E11&gt;=2*Settings!$B$12,Settings!$B$11,"NEITHER — under bench resolution"))))))</f>
        <v>Main scale</v>
      </c>
      <c r="G11" s="25" t="n">
        <f aca="false">IF($B11="","",IF($F11=Settings!$B$6,MAX(2*Settings!$B$7,Settings!$B$4*$E11),IF($F11=Settings!$B$11,MAX(2*Settings!$B$12,Settings!$B$4*$E11),"")))</f>
        <v>2.56</v>
      </c>
      <c r="H11" s="27" t="str">
        <f aca="false">IF($B11="","",IF(LEFT($F11,6)="Listed","Quantity 0: shown on the station as a reminder, not weighed. Give it a weight to weigh it.",IF(LEFT($F11,7)="NEITHER","Cannot be weighed — split it, premix it, or raise the batch size",IF($G11&gt;Settings!$B$4*$E11+0.0001,"Held to the scale's resolution, not "&amp;TEXT(Settings!$B$4,"0%"),""))))</f>
        <v/>
      </c>
    </row>
    <row r="12" customFormat="false" ht="15" hidden="false" customHeight="false" outlineLevel="0" collapsed="false">
      <c r="A12" s="21" t="n">
        <f aca="false">IF($B12="","",4)</f>
        <v>4</v>
      </c>
      <c r="B12" s="22" t="s">
        <v>90</v>
      </c>
      <c r="C12" s="23" t="n">
        <v>20</v>
      </c>
      <c r="D12" s="24" t="n">
        <f aca="false">IF($B12="","",$C12/1000)</f>
        <v>0.02</v>
      </c>
      <c r="E12" s="25" t="n">
        <f aca="false">IF($B12="","",$D12*$C$4)</f>
        <v>64</v>
      </c>
      <c r="F12" s="26" t="str">
        <f aca="false">IF($B12="","",IF($C12=0,"Listed — not weighed",IF($E12&lt;0,"NEITHER — negative weight",IF($E12&gt;=Settings!$B$19,Settings!$B$6,IF($E12&gt;Settings!$B$14,"NEITHER — over bench capacity",IF($E12&gt;=2*Settings!$B$12,Settings!$B$11,"NEITHER — under bench resolution"))))))</f>
        <v>Main scale</v>
      </c>
      <c r="G12" s="25" t="n">
        <f aca="false">IF($B12="","",IF($F12=Settings!$B$6,MAX(2*Settings!$B$7,Settings!$B$4*$E12),IF($F12=Settings!$B$11,MAX(2*Settings!$B$12,Settings!$B$4*$E12),"")))</f>
        <v>2</v>
      </c>
      <c r="H12" s="27" t="str">
        <f aca="false">IF($B12="","",IF(LEFT($F12,6)="Listed","Quantity 0: shown on the station as a reminder, not weighed. Give it a weight to weigh it.",IF(LEFT($F12,7)="NEITHER","Cannot be weighed — split it, premix it, or raise the batch size",IF($G12&gt;Settings!$B$4*$E12+0.0001,"Held to the scale's resolution, not "&amp;TEXT(Settings!$B$4,"0%"),""))))</f>
        <v>Held to the scale's resolution, not 2%</v>
      </c>
    </row>
    <row r="13" customFormat="false" ht="15" hidden="false" customHeight="false" outlineLevel="0" collapsed="false">
      <c r="A13" s="21" t="n">
        <f aca="false">IF($B13="","",5)</f>
        <v>5</v>
      </c>
      <c r="B13" s="22" t="s">
        <v>91</v>
      </c>
      <c r="C13" s="23" t="n">
        <v>2</v>
      </c>
      <c r="D13" s="24" t="n">
        <f aca="false">IF($B13="","",$C13/1000)</f>
        <v>0.002</v>
      </c>
      <c r="E13" s="25" t="n">
        <f aca="false">IF($B13="","",$D13*$C$4)</f>
        <v>6.4</v>
      </c>
      <c r="F13" s="26" t="str">
        <f aca="false">IF($B13="","",IF($C13=0,"Listed — not weighed",IF($E13&lt;0,"NEITHER — negative weight",IF($E13&gt;=Settings!$B$19,Settings!$B$6,IF($E13&gt;Settings!$B$14,"NEITHER — over bench capacity",IF($E13&gt;=2*Settings!$B$12,Settings!$B$11,"NEITHER — under bench resolution"))))))</f>
        <v>Main scale</v>
      </c>
      <c r="G13" s="25" t="n">
        <f aca="false">IF($B13="","",IF($F13=Settings!$B$6,MAX(2*Settings!$B$7,Settings!$B$4*$E13),IF($F13=Settings!$B$11,MAX(2*Settings!$B$12,Settings!$B$4*$E13),"")))</f>
        <v>2</v>
      </c>
      <c r="H13" s="27" t="str">
        <f aca="false">IF($B13="","",IF(LEFT($F13,6)="Listed","Quantity 0: shown on the station as a reminder, not weighed. Give it a weight to weigh it.",IF(LEFT($F13,7)="NEITHER","Cannot be weighed — split it, premix it, or raise the batch size",IF($G13&gt;Settings!$B$4*$E13+0.0001,"Held to the scale's resolution, not "&amp;TEXT(Settings!$B$4,"0%"),""))))</f>
        <v>Held to the scale's resolution, not 2%</v>
      </c>
    </row>
    <row r="14" customFormat="false" ht="15" hidden="false" customHeight="false" outlineLevel="0" collapsed="false">
      <c r="A14" s="21" t="n">
        <f aca="false">IF($B14="","",6)</f>
        <v>6</v>
      </c>
      <c r="B14" s="22" t="s">
        <v>83</v>
      </c>
      <c r="C14" s="23" t="n">
        <v>8</v>
      </c>
      <c r="D14" s="24" t="n">
        <f aca="false">IF($B14="","",$C14/1000)</f>
        <v>0.008</v>
      </c>
      <c r="E14" s="25" t="n">
        <f aca="false">IF($B14="","",$D14*$C$4)</f>
        <v>25.6</v>
      </c>
      <c r="F14" s="26" t="str">
        <f aca="false">IF($B14="","",IF($C14=0,"Listed — not weighed",IF($E14&lt;0,"NEITHER — negative weight",IF($E14&gt;=Settings!$B$19,Settings!$B$6,IF($E14&gt;Settings!$B$14,"NEITHER — over bench capacity",IF($E14&gt;=2*Settings!$B$12,Settings!$B$11,"NEITHER — under bench resolution"))))))</f>
        <v>Main scale</v>
      </c>
      <c r="G14" s="25" t="n">
        <f aca="false">IF($B14="","",IF($F14=Settings!$B$6,MAX(2*Settings!$B$7,Settings!$B$4*$E14),IF($F14=Settings!$B$11,MAX(2*Settings!$B$12,Settings!$B$4*$E14),"")))</f>
        <v>2</v>
      </c>
      <c r="H14" s="27" t="str">
        <f aca="false">IF($B14="","",IF(LEFT($F14,6)="Listed","Quantity 0: shown on the station as a reminder, not weighed. Give it a weight to weigh it.",IF(LEFT($F14,7)="NEITHER","Cannot be weighed — split it, premix it, or raise the batch size",IF($G14&gt;Settings!$B$4*$E14+0.0001,"Held to the scale's resolution, not "&amp;TEXT(Settings!$B$4,"0%"),""))))</f>
        <v>Held to the scale's resolution, not 2%</v>
      </c>
    </row>
    <row r="15" customFormat="false" ht="15" hidden="false" customHeight="false" outlineLevel="0" collapsed="false">
      <c r="A15" s="21" t="n">
        <f aca="false">IF($B15="","",7)</f>
        <v>7</v>
      </c>
      <c r="B15" s="22" t="s">
        <v>92</v>
      </c>
      <c r="C15" s="23" t="n">
        <v>6</v>
      </c>
      <c r="D15" s="24" t="n">
        <f aca="false">IF($B15="","",$C15/1000)</f>
        <v>0.006</v>
      </c>
      <c r="E15" s="25" t="n">
        <f aca="false">IF($B15="","",$D15*$C$4)</f>
        <v>19.2</v>
      </c>
      <c r="F15" s="26" t="str">
        <f aca="false">IF($B15="","",IF($C15=0,"Listed — not weighed",IF($E15&lt;0,"NEITHER — negative weight",IF($E15&gt;=Settings!$B$19,Settings!$B$6,IF($E15&gt;Settings!$B$14,"NEITHER — over bench capacity",IF($E15&gt;=2*Settings!$B$12,Settings!$B$11,"NEITHER — under bench resolution"))))))</f>
        <v>Main scale</v>
      </c>
      <c r="G15" s="25" t="n">
        <f aca="false">IF($B15="","",IF($F15=Settings!$B$6,MAX(2*Settings!$B$7,Settings!$B$4*$E15),IF($F15=Settings!$B$11,MAX(2*Settings!$B$12,Settings!$B$4*$E15),"")))</f>
        <v>2</v>
      </c>
      <c r="H15" s="27" t="str">
        <f aca="false">IF($B15="","",IF(LEFT($F15,6)="Listed","Quantity 0: shown on the station as a reminder, not weighed. Give it a weight to weigh it.",IF(LEFT($F15,7)="NEITHER","Cannot be weighed — split it, premix it, or raise the batch size",IF($G15&gt;Settings!$B$4*$E15+0.0001,"Held to the scale's resolution, not "&amp;TEXT(Settings!$B$4,"0%"),""))))</f>
        <v>Held to the scale's resolution, not 2%</v>
      </c>
    </row>
    <row r="16" customFormat="false" ht="15" hidden="false" customHeight="false" outlineLevel="0" collapsed="false">
      <c r="A16" s="21" t="n">
        <f aca="false">IF($B16="","",8)</f>
        <v>8</v>
      </c>
      <c r="B16" s="22" t="s">
        <v>66</v>
      </c>
      <c r="C16" s="23" t="n">
        <v>6</v>
      </c>
      <c r="D16" s="24" t="n">
        <f aca="false">IF($B16="","",$C16/1000)</f>
        <v>0.006</v>
      </c>
      <c r="E16" s="25" t="n">
        <f aca="false">IF($B16="","",$D16*$C$4)</f>
        <v>19.2</v>
      </c>
      <c r="F16" s="26" t="str">
        <f aca="false">IF($B16="","",IF($C16=0,"Listed — not weighed",IF($E16&lt;0,"NEITHER — negative weight",IF($E16&gt;=Settings!$B$19,Settings!$B$6,IF($E16&gt;Settings!$B$14,"NEITHER — over bench capacity",IF($E16&gt;=2*Settings!$B$12,Settings!$B$11,"NEITHER — under bench resolution"))))))</f>
        <v>Main scale</v>
      </c>
      <c r="G16" s="25" t="n">
        <f aca="false">IF($B16="","",IF($F16=Settings!$B$6,MAX(2*Settings!$B$7,Settings!$B$4*$E16),IF($F16=Settings!$B$11,MAX(2*Settings!$B$12,Settings!$B$4*$E16),"")))</f>
        <v>2</v>
      </c>
      <c r="H16" s="27" t="str">
        <f aca="false">IF($B16="","",IF(LEFT($F16,6)="Listed","Quantity 0: shown on the station as a reminder, not weighed. Give it a weight to weigh it.",IF(LEFT($F16,7)="NEITHER","Cannot be weighed — split it, premix it, or raise the batch size",IF($G16&gt;Settings!$B$4*$E16+0.0001,"Held to the scale's resolution, not "&amp;TEXT(Settings!$B$4,"0%"),""))))</f>
        <v>Held to the scale's resolution, not 2%</v>
      </c>
    </row>
    <row r="17" customFormat="false" ht="15" hidden="false" customHeight="false" outlineLevel="0" collapsed="false">
      <c r="A17" s="21" t="n">
        <f aca="false">IF($B17="","",9)</f>
        <v>9</v>
      </c>
      <c r="B17" s="22" t="s">
        <v>93</v>
      </c>
      <c r="C17" s="23" t="n">
        <v>5</v>
      </c>
      <c r="D17" s="24" t="n">
        <f aca="false">IF($B17="","",$C17/1000)</f>
        <v>0.005</v>
      </c>
      <c r="E17" s="25" t="n">
        <f aca="false">IF($B17="","",$D17*$C$4)</f>
        <v>16</v>
      </c>
      <c r="F17" s="26" t="str">
        <f aca="false">IF($B17="","",IF($C17=0,"Listed — not weighed",IF($E17&lt;0,"NEITHER — negative weight",IF($E17&gt;=Settings!$B$19,Settings!$B$6,IF($E17&gt;Settings!$B$14,"NEITHER — over bench capacity",IF($E17&gt;=2*Settings!$B$12,Settings!$B$11,"NEITHER — under bench resolution"))))))</f>
        <v>Main scale</v>
      </c>
      <c r="G17" s="25" t="n">
        <f aca="false">IF($B17="","",IF($F17=Settings!$B$6,MAX(2*Settings!$B$7,Settings!$B$4*$E17),IF($F17=Settings!$B$11,MAX(2*Settings!$B$12,Settings!$B$4*$E17),"")))</f>
        <v>2</v>
      </c>
      <c r="H17" s="27" t="str">
        <f aca="false">IF($B17="","",IF(LEFT($F17,6)="Listed","Quantity 0: shown on the station as a reminder, not weighed. Give it a weight to weigh it.",IF(LEFT($F17,7)="NEITHER","Cannot be weighed — split it, premix it, or raise the batch size",IF($G17&gt;Settings!$B$4*$E17+0.0001,"Held to the scale's resolution, not "&amp;TEXT(Settings!$B$4,"0%"),""))))</f>
        <v>Held to the scale's resolution, not 2%</v>
      </c>
    </row>
    <row r="18" customFormat="false" ht="15" hidden="false" customHeight="false" outlineLevel="0" collapsed="false">
      <c r="A18" s="21" t="n">
        <f aca="false">IF($B18="","",10)</f>
        <v>10</v>
      </c>
      <c r="B18" s="22" t="s">
        <v>94</v>
      </c>
      <c r="C18" s="23" t="n">
        <v>1</v>
      </c>
      <c r="D18" s="24" t="n">
        <f aca="false">IF($B18="","",$C18/1000)</f>
        <v>0.001</v>
      </c>
      <c r="E18" s="25" t="n">
        <f aca="false">IF($B18="","",$D18*$C$4)</f>
        <v>3.2</v>
      </c>
      <c r="F18" s="26" t="str">
        <f aca="false">IF($B18="","",IF($C18=0,"Listed — not weighed",IF($E18&lt;0,"NEITHER — negative weight",IF($E18&gt;=Settings!$B$19,Settings!$B$6,IF($E18&gt;Settings!$B$14,"NEITHER — over bench capacity",IF($E18&gt;=2*Settings!$B$12,Settings!$B$11,"NEITHER — under bench resolution"))))))</f>
        <v>Small scale</v>
      </c>
      <c r="G18" s="25" t="n">
        <f aca="false">IF($B18="","",IF($F18=Settings!$B$6,MAX(2*Settings!$B$7,Settings!$B$4*$E18),IF($F18=Settings!$B$11,MAX(2*Settings!$B$12,Settings!$B$4*$E18),"")))</f>
        <v>0.2</v>
      </c>
      <c r="H18" s="27" t="str">
        <f aca="false">IF($B18="","",IF(LEFT($F18,6)="Listed","Quantity 0: shown on the station as a reminder, not weighed. Give it a weight to weigh it.",IF(LEFT($F18,7)="NEITHER","Cannot be weighed — split it, premix it, or raise the batch size",IF($G18&gt;Settings!$B$4*$E18+0.0001,"Held to the scale's resolution, not "&amp;TEXT(Settings!$B$4,"0%"),""))))</f>
        <v>Held to the scale's resolution, not 2%</v>
      </c>
    </row>
    <row r="19" customFormat="false" ht="15" hidden="false" customHeight="false" outlineLevel="0" collapsed="false">
      <c r="A19" s="21" t="n">
        <f aca="false">IF($B19="","",11)</f>
        <v>11</v>
      </c>
      <c r="B19" s="22" t="s">
        <v>95</v>
      </c>
      <c r="C19" s="23" t="n">
        <v>0.8</v>
      </c>
      <c r="D19" s="24" t="n">
        <f aca="false">IF($B19="","",$C19/1000)</f>
        <v>0.0008</v>
      </c>
      <c r="E19" s="25" t="n">
        <f aca="false">IF($B19="","",$D19*$C$4)</f>
        <v>2.56</v>
      </c>
      <c r="F19" s="26" t="str">
        <f aca="false">IF($B19="","",IF($C19=0,"Listed — not weighed",IF($E19&lt;0,"NEITHER — negative weight",IF($E19&gt;=Settings!$B$19,Settings!$B$6,IF($E19&gt;Settings!$B$14,"NEITHER — over bench capacity",IF($E19&gt;=2*Settings!$B$12,Settings!$B$11,"NEITHER — under bench resolution"))))))</f>
        <v>Small scale</v>
      </c>
      <c r="G19" s="25" t="n">
        <f aca="false">IF($B19="","",IF($F19=Settings!$B$6,MAX(2*Settings!$B$7,Settings!$B$4*$E19),IF($F19=Settings!$B$11,MAX(2*Settings!$B$12,Settings!$B$4*$E19),"")))</f>
        <v>0.2</v>
      </c>
      <c r="H19" s="27" t="str">
        <f aca="false">IF($B19="","",IF(LEFT($F19,6)="Listed","Quantity 0: shown on the station as a reminder, not weighed. Give it a weight to weigh it.",IF(LEFT($F19,7)="NEITHER","Cannot be weighed — split it, premix it, or raise the batch size",IF($G19&gt;Settings!$B$4*$E19+0.0001,"Held to the scale's resolution, not "&amp;TEXT(Settings!$B$4,"0%"),""))))</f>
        <v>Held to the scale's resolution, not 2%</v>
      </c>
    </row>
    <row r="20" customFormat="false" ht="15" hidden="false" customHeight="false" outlineLevel="0" collapsed="false">
      <c r="A20" s="21" t="str">
        <f aca="false">IF($B20="","",12)</f>
        <v/>
      </c>
      <c r="B20" s="22"/>
      <c r="C20" s="23"/>
      <c r="D20" s="24" t="str">
        <f aca="false">IF($B20="","",$C20/1000)</f>
        <v/>
      </c>
      <c r="E20" s="25" t="str">
        <f aca="false">IF($B20="","",$D20*$C$4)</f>
        <v/>
      </c>
      <c r="F20" s="26" t="str">
        <f aca="false">IF($B20="","",IF($C20=0,"Listed — not weighed",IF($E20&lt;0,"NEITHER — negative weight",IF($E20&gt;=Settings!$B$19,Settings!$B$6,IF($E20&gt;Settings!$B$14,"NEITHER — over bench capacity",IF($E20&gt;=2*Settings!$B$12,Settings!$B$11,"NEITHER — under bench resolution"))))))</f>
        <v/>
      </c>
      <c r="G20" s="25" t="str">
        <f aca="false">IF($B20="","",IF($F20=Settings!$B$6,MAX(2*Settings!$B$7,Settings!$B$4*$E20),IF($F20=Settings!$B$11,MAX(2*Settings!$B$12,Settings!$B$4*$E20),"")))</f>
        <v/>
      </c>
      <c r="H20" s="27" t="str">
        <f aca="false">IF($B20="","",IF(LEFT($F20,6)="Listed","Quantity 0: shown on the station as a reminder, not weighed. Give it a weight to weigh it.",IF(LEFT($F20,7)="NEITHER","Cannot be weighed — split it, premix it, or raise the batch size",IF($G20&gt;Settings!$B$4*$E20+0.0001,"Held to the scale's resolution, not "&amp;TEXT(Settings!$B$4,"0%"),""))))</f>
        <v/>
      </c>
    </row>
    <row r="21" customFormat="false" ht="15" hidden="false" customHeight="false" outlineLevel="0" collapsed="false">
      <c r="A21" s="21" t="str">
        <f aca="false">IF($B21="","",13)</f>
        <v/>
      </c>
      <c r="B21" s="22"/>
      <c r="C21" s="23"/>
      <c r="D21" s="24" t="str">
        <f aca="false">IF($B21="","",$C21/1000)</f>
        <v/>
      </c>
      <c r="E21" s="25" t="str">
        <f aca="false">IF($B21="","",$D21*$C$4)</f>
        <v/>
      </c>
      <c r="F21" s="26" t="str">
        <f aca="false">IF($B21="","",IF($C21=0,"Listed — not weighed",IF($E21&lt;0,"NEITHER — negative weight",IF($E21&gt;=Settings!$B$19,Settings!$B$6,IF($E21&gt;Settings!$B$14,"NEITHER — over bench capacity",IF($E21&gt;=2*Settings!$B$12,Settings!$B$11,"NEITHER — under bench resolution"))))))</f>
        <v/>
      </c>
      <c r="G21" s="25" t="str">
        <f aca="false">IF($B21="","",IF($F21=Settings!$B$6,MAX(2*Settings!$B$7,Settings!$B$4*$E21),IF($F21=Settings!$B$11,MAX(2*Settings!$B$12,Settings!$B$4*$E21),"")))</f>
        <v/>
      </c>
      <c r="H21" s="27" t="str">
        <f aca="false">IF($B21="","",IF(LEFT($F21,6)="Listed","Quantity 0: shown on the station as a reminder, not weighed. Give it a weight to weigh it.",IF(LEFT($F21,7)="NEITHER","Cannot be weighed — split it, premix it, or raise the batch size",IF($G21&gt;Settings!$B$4*$E21+0.0001,"Held to the scale's resolution, not "&amp;TEXT(Settings!$B$4,"0%"),""))))</f>
        <v/>
      </c>
    </row>
    <row r="22" customFormat="false" ht="15" hidden="false" customHeight="false" outlineLevel="0" collapsed="false">
      <c r="A22" s="21" t="str">
        <f aca="false">IF($B22="","",14)</f>
        <v/>
      </c>
      <c r="B22" s="22"/>
      <c r="C22" s="23"/>
      <c r="D22" s="24" t="str">
        <f aca="false">IF($B22="","",$C22/1000)</f>
        <v/>
      </c>
      <c r="E22" s="25" t="str">
        <f aca="false">IF($B22="","",$D22*$C$4)</f>
        <v/>
      </c>
      <c r="F22" s="26" t="str">
        <f aca="false">IF($B22="","",IF($C22=0,"Listed — not weighed",IF($E22&lt;0,"NEITHER — negative weight",IF($E22&gt;=Settings!$B$19,Settings!$B$6,IF($E22&gt;Settings!$B$14,"NEITHER — over bench capacity",IF($E22&gt;=2*Settings!$B$12,Settings!$B$11,"NEITHER — under bench resolution"))))))</f>
        <v/>
      </c>
      <c r="G22" s="25" t="str">
        <f aca="false">IF($B22="","",IF($F22=Settings!$B$6,MAX(2*Settings!$B$7,Settings!$B$4*$E22),IF($F22=Settings!$B$11,MAX(2*Settings!$B$12,Settings!$B$4*$E22),"")))</f>
        <v/>
      </c>
      <c r="H22" s="27" t="str">
        <f aca="false">IF($B22="","",IF(LEFT($F22,6)="Listed","Quantity 0: shown on the station as a reminder, not weighed. Give it a weight to weigh it.",IF(LEFT($F22,7)="NEITHER","Cannot be weighed — split it, premix it, or raise the batch size",IF($G22&gt;Settings!$B$4*$E22+0.0001,"Held to the scale's resolution, not "&amp;TEXT(Settings!$B$4,"0%"),""))))</f>
        <v/>
      </c>
    </row>
    <row r="23" customFormat="false" ht="15" hidden="false" customHeight="false" outlineLevel="0" collapsed="false">
      <c r="A23" s="21" t="str">
        <f aca="false">IF($B23="","",15)</f>
        <v/>
      </c>
      <c r="B23" s="22"/>
      <c r="C23" s="23"/>
      <c r="D23" s="24" t="str">
        <f aca="false">IF($B23="","",$C23/1000)</f>
        <v/>
      </c>
      <c r="E23" s="25" t="str">
        <f aca="false">IF($B23="","",$D23*$C$4)</f>
        <v/>
      </c>
      <c r="F23" s="26" t="str">
        <f aca="false">IF($B23="","",IF($C23=0,"Listed — not weighed",IF($E23&lt;0,"NEITHER — negative weight",IF($E23&gt;=Settings!$B$19,Settings!$B$6,IF($E23&gt;Settings!$B$14,"NEITHER — over bench capacity",IF($E23&gt;=2*Settings!$B$12,Settings!$B$11,"NEITHER — under bench resolution"))))))</f>
        <v/>
      </c>
      <c r="G23" s="25" t="str">
        <f aca="false">IF($B23="","",IF($F23=Settings!$B$6,MAX(2*Settings!$B$7,Settings!$B$4*$E23),IF($F23=Settings!$B$11,MAX(2*Settings!$B$12,Settings!$B$4*$E23),"")))</f>
        <v/>
      </c>
      <c r="H23" s="27" t="str">
        <f aca="false">IF($B23="","",IF(LEFT($F23,6)="Listed","Quantity 0: shown on the station as a reminder, not weighed. Give it a weight to weigh it.",IF(LEFT($F23,7)="NEITHER","Cannot be weighed — split it, premix it, or raise the batch size",IF($G23&gt;Settings!$B$4*$E23+0.0001,"Held to the scale's resolution, not "&amp;TEXT(Settings!$B$4,"0%"),""))))</f>
        <v/>
      </c>
    </row>
    <row r="24" customFormat="false" ht="15" hidden="false" customHeight="false" outlineLevel="0" collapsed="false">
      <c r="A24" s="21" t="str">
        <f aca="false">IF($B24="","",16)</f>
        <v/>
      </c>
      <c r="B24" s="22"/>
      <c r="C24" s="23"/>
      <c r="D24" s="24" t="str">
        <f aca="false">IF($B24="","",$C24/1000)</f>
        <v/>
      </c>
      <c r="E24" s="25" t="str">
        <f aca="false">IF($B24="","",$D24*$C$4)</f>
        <v/>
      </c>
      <c r="F24" s="26" t="str">
        <f aca="false">IF($B24="","",IF($C24=0,"Listed — not weighed",IF($E24&lt;0,"NEITHER — negative weight",IF($E24&gt;=Settings!$B$19,Settings!$B$6,IF($E24&gt;Settings!$B$14,"NEITHER — over bench capacity",IF($E24&gt;=2*Settings!$B$12,Settings!$B$11,"NEITHER — under bench resolution"))))))</f>
        <v/>
      </c>
      <c r="G24" s="25" t="str">
        <f aca="false">IF($B24="","",IF($F24=Settings!$B$6,MAX(2*Settings!$B$7,Settings!$B$4*$E24),IF($F24=Settings!$B$11,MAX(2*Settings!$B$12,Settings!$B$4*$E24),"")))</f>
        <v/>
      </c>
      <c r="H24" s="27" t="str">
        <f aca="false">IF($B24="","",IF(LEFT($F24,6)="Listed","Quantity 0: shown on the station as a reminder, not weighed. Give it a weight to weigh it.",IF(LEFT($F24,7)="NEITHER","Cannot be weighed — split it, premix it, or raise the batch size",IF($G24&gt;Settings!$B$4*$E24+0.0001,"Held to the scale's resolution, not "&amp;TEXT(Settings!$B$4,"0%"),""))))</f>
        <v/>
      </c>
    </row>
    <row r="25" customFormat="false" ht="15" hidden="false" customHeight="false" outlineLevel="0" collapsed="false">
      <c r="A25" s="21" t="str">
        <f aca="false">IF($B25="","",17)</f>
        <v/>
      </c>
      <c r="B25" s="22"/>
      <c r="C25" s="23"/>
      <c r="D25" s="24" t="str">
        <f aca="false">IF($B25="","",$C25/1000)</f>
        <v/>
      </c>
      <c r="E25" s="25" t="str">
        <f aca="false">IF($B25="","",$D25*$C$4)</f>
        <v/>
      </c>
      <c r="F25" s="26" t="str">
        <f aca="false">IF($B25="","",IF($C25=0,"Listed — not weighed",IF($E25&lt;0,"NEITHER — negative weight",IF($E25&gt;=Settings!$B$19,Settings!$B$6,IF($E25&gt;Settings!$B$14,"NEITHER — over bench capacity",IF($E25&gt;=2*Settings!$B$12,Settings!$B$11,"NEITHER — under bench resolution"))))))</f>
        <v/>
      </c>
      <c r="G25" s="25" t="str">
        <f aca="false">IF($B25="","",IF($F25=Settings!$B$6,MAX(2*Settings!$B$7,Settings!$B$4*$E25),IF($F25=Settings!$B$11,MAX(2*Settings!$B$12,Settings!$B$4*$E25),"")))</f>
        <v/>
      </c>
      <c r="H25" s="27" t="str">
        <f aca="false">IF($B25="","",IF(LEFT($F25,6)="Listed","Quantity 0: shown on the station as a reminder, not weighed. Give it a weight to weigh it.",IF(LEFT($F25,7)="NEITHER","Cannot be weighed — split it, premix it, or raise the batch size",IF($G25&gt;Settings!$B$4*$E25+0.0001,"Held to the scale's resolution, not "&amp;TEXT(Settings!$B$4,"0%"),""))))</f>
        <v/>
      </c>
    </row>
    <row r="26" customFormat="false" ht="15" hidden="false" customHeight="false" outlineLevel="0" collapsed="false">
      <c r="A26" s="21" t="str">
        <f aca="false">IF($B26="","",18)</f>
        <v/>
      </c>
      <c r="B26" s="22"/>
      <c r="C26" s="23"/>
      <c r="D26" s="24" t="str">
        <f aca="false">IF($B26="","",$C26/1000)</f>
        <v/>
      </c>
      <c r="E26" s="25" t="str">
        <f aca="false">IF($B26="","",$D26*$C$4)</f>
        <v/>
      </c>
      <c r="F26" s="26" t="str">
        <f aca="false">IF($B26="","",IF($C26=0,"Listed — not weighed",IF($E26&lt;0,"NEITHER — negative weight",IF($E26&gt;=Settings!$B$19,Settings!$B$6,IF($E26&gt;Settings!$B$14,"NEITHER — over bench capacity",IF($E26&gt;=2*Settings!$B$12,Settings!$B$11,"NEITHER — under bench resolution"))))))</f>
        <v/>
      </c>
      <c r="G26" s="25" t="str">
        <f aca="false">IF($B26="","",IF($F26=Settings!$B$6,MAX(2*Settings!$B$7,Settings!$B$4*$E26),IF($F26=Settings!$B$11,MAX(2*Settings!$B$12,Settings!$B$4*$E26),"")))</f>
        <v/>
      </c>
      <c r="H26" s="27" t="str">
        <f aca="false">IF($B26="","",IF(LEFT($F26,6)="Listed","Quantity 0: shown on the station as a reminder, not weighed. Give it a weight to weigh it.",IF(LEFT($F26,7)="NEITHER","Cannot be weighed — split it, premix it, or raise the batch size",IF($G26&gt;Settings!$B$4*$E26+0.0001,"Held to the scale's resolution, not "&amp;TEXT(Settings!$B$4,"0%"),""))))</f>
        <v/>
      </c>
    </row>
    <row r="27" customFormat="false" ht="15" hidden="false" customHeight="false" outlineLevel="0" collapsed="false">
      <c r="A27" s="21" t="str">
        <f aca="false">IF($B27="","",19)</f>
        <v/>
      </c>
      <c r="B27" s="22"/>
      <c r="C27" s="23"/>
      <c r="D27" s="24" t="str">
        <f aca="false">IF($B27="","",$C27/1000)</f>
        <v/>
      </c>
      <c r="E27" s="25" t="str">
        <f aca="false">IF($B27="","",$D27*$C$4)</f>
        <v/>
      </c>
      <c r="F27" s="26" t="str">
        <f aca="false">IF($B27="","",IF($C27=0,"Listed — not weighed",IF($E27&lt;0,"NEITHER — negative weight",IF($E27&gt;=Settings!$B$19,Settings!$B$6,IF($E27&gt;Settings!$B$14,"NEITHER — over bench capacity",IF($E27&gt;=2*Settings!$B$12,Settings!$B$11,"NEITHER — under bench resolution"))))))</f>
        <v/>
      </c>
      <c r="G27" s="25" t="str">
        <f aca="false">IF($B27="","",IF($F27=Settings!$B$6,MAX(2*Settings!$B$7,Settings!$B$4*$E27),IF($F27=Settings!$B$11,MAX(2*Settings!$B$12,Settings!$B$4*$E27),"")))</f>
        <v/>
      </c>
      <c r="H27" s="27" t="str">
        <f aca="false">IF($B27="","",IF(LEFT($F27,6)="Listed","Quantity 0: shown on the station as a reminder, not weighed. Give it a weight to weigh it.",IF(LEFT($F27,7)="NEITHER","Cannot be weighed — split it, premix it, or raise the batch size",IF($G27&gt;Settings!$B$4*$E27+0.0001,"Held to the scale's resolution, not "&amp;TEXT(Settings!$B$4,"0%"),""))))</f>
        <v/>
      </c>
    </row>
    <row r="28" customFormat="false" ht="15" hidden="false" customHeight="false" outlineLevel="0" collapsed="false">
      <c r="A28" s="21" t="str">
        <f aca="false">IF($B28="","",20)</f>
        <v/>
      </c>
      <c r="B28" s="22"/>
      <c r="C28" s="23"/>
      <c r="D28" s="24" t="str">
        <f aca="false">IF($B28="","",$C28/1000)</f>
        <v/>
      </c>
      <c r="E28" s="25" t="str">
        <f aca="false">IF($B28="","",$D28*$C$4)</f>
        <v/>
      </c>
      <c r="F28" s="26" t="str">
        <f aca="false">IF($B28="","",IF($C28=0,"Listed — not weighed",IF($E28&lt;0,"NEITHER — negative weight",IF($E28&gt;=Settings!$B$19,Settings!$B$6,IF($E28&gt;Settings!$B$14,"NEITHER — over bench capacity",IF($E28&gt;=2*Settings!$B$12,Settings!$B$11,"NEITHER — under bench resolution"))))))</f>
        <v/>
      </c>
      <c r="G28" s="25" t="str">
        <f aca="false">IF($B28="","",IF($F28=Settings!$B$6,MAX(2*Settings!$B$7,Settings!$B$4*$E28),IF($F28=Settings!$B$11,MAX(2*Settings!$B$12,Settings!$B$4*$E28),"")))</f>
        <v/>
      </c>
      <c r="H28" s="27" t="str">
        <f aca="false">IF($B28="","",IF(LEFT($F28,6)="Listed","Quantity 0: shown on the station as a reminder, not weighed. Give it a weight to weigh it.",IF(LEFT($F28,7)="NEITHER","Cannot be weighed — split it, premix it, or raise the batch size",IF($G28&gt;Settings!$B$4*$E28+0.0001,"Held to the scale's resolution, not "&amp;TEXT(Settings!$B$4,"0%"),""))))</f>
        <v/>
      </c>
    </row>
    <row r="29" customFormat="false" ht="15" hidden="false" customHeight="false" outlineLevel="0" collapsed="false">
      <c r="A29" s="21" t="str">
        <f aca="false">IF($B29="","",21)</f>
        <v/>
      </c>
      <c r="B29" s="22"/>
      <c r="C29" s="23"/>
      <c r="D29" s="24" t="str">
        <f aca="false">IF($B29="","",$C29/1000)</f>
        <v/>
      </c>
      <c r="E29" s="25" t="str">
        <f aca="false">IF($B29="","",$D29*$C$4)</f>
        <v/>
      </c>
      <c r="F29" s="26" t="str">
        <f aca="false">IF($B29="","",IF($C29=0,"Listed — not weighed",IF($E29&lt;0,"NEITHER — negative weight",IF($E29&gt;=Settings!$B$19,Settings!$B$6,IF($E29&gt;Settings!$B$14,"NEITHER — over bench capacity",IF($E29&gt;=2*Settings!$B$12,Settings!$B$11,"NEITHER — under bench resolution"))))))</f>
        <v/>
      </c>
      <c r="G29" s="25" t="str">
        <f aca="false">IF($B29="","",IF($F29=Settings!$B$6,MAX(2*Settings!$B$7,Settings!$B$4*$E29),IF($F29=Settings!$B$11,MAX(2*Settings!$B$12,Settings!$B$4*$E29),"")))</f>
        <v/>
      </c>
      <c r="H29" s="27" t="str">
        <f aca="false">IF($B29="","",IF(LEFT($F29,6)="Listed","Quantity 0: shown on the station as a reminder, not weighed. Give it a weight to weigh it.",IF(LEFT($F29,7)="NEITHER","Cannot be weighed — split it, premix it, or raise the batch size",IF($G29&gt;Settings!$B$4*$E29+0.0001,"Held to the scale's resolution, not "&amp;TEXT(Settings!$B$4,"0%"),""))))</f>
        <v/>
      </c>
    </row>
    <row r="30" customFormat="false" ht="15" hidden="false" customHeight="false" outlineLevel="0" collapsed="false">
      <c r="A30" s="21" t="str">
        <f aca="false">IF($B30="","",22)</f>
        <v/>
      </c>
      <c r="B30" s="22"/>
      <c r="C30" s="23"/>
      <c r="D30" s="24" t="str">
        <f aca="false">IF($B30="","",$C30/1000)</f>
        <v/>
      </c>
      <c r="E30" s="25" t="str">
        <f aca="false">IF($B30="","",$D30*$C$4)</f>
        <v/>
      </c>
      <c r="F30" s="26" t="str">
        <f aca="false">IF($B30="","",IF($C30=0,"Listed — not weighed",IF($E30&lt;0,"NEITHER — negative weight",IF($E30&gt;=Settings!$B$19,Settings!$B$6,IF($E30&gt;Settings!$B$14,"NEITHER — over bench capacity",IF($E30&gt;=2*Settings!$B$12,Settings!$B$11,"NEITHER — under bench resolution"))))))</f>
        <v/>
      </c>
      <c r="G30" s="25" t="str">
        <f aca="false">IF($B30="","",IF($F30=Settings!$B$6,MAX(2*Settings!$B$7,Settings!$B$4*$E30),IF($F30=Settings!$B$11,MAX(2*Settings!$B$12,Settings!$B$4*$E30),"")))</f>
        <v/>
      </c>
      <c r="H30" s="27" t="str">
        <f aca="false">IF($B30="","",IF(LEFT($F30,6)="Listed","Quantity 0: shown on the station as a reminder, not weighed. Give it a weight to weigh it.",IF(LEFT($F30,7)="NEITHER","Cannot be weighed — split it, premix it, or raise the batch size",IF($G30&gt;Settings!$B$4*$E30+0.0001,"Held to the scale's resolution, not "&amp;TEXT(Settings!$B$4,"0%"),""))))</f>
        <v/>
      </c>
    </row>
    <row r="31" customFormat="false" ht="15" hidden="false" customHeight="false" outlineLevel="0" collapsed="false">
      <c r="A31" s="21" t="str">
        <f aca="false">IF($B31="","",23)</f>
        <v/>
      </c>
      <c r="B31" s="22"/>
      <c r="C31" s="23"/>
      <c r="D31" s="24" t="str">
        <f aca="false">IF($B31="","",$C31/1000)</f>
        <v/>
      </c>
      <c r="E31" s="25" t="str">
        <f aca="false">IF($B31="","",$D31*$C$4)</f>
        <v/>
      </c>
      <c r="F31" s="26" t="str">
        <f aca="false">IF($B31="","",IF($C31=0,"Listed — not weighed",IF($E31&lt;0,"NEITHER — negative weight",IF($E31&gt;=Settings!$B$19,Settings!$B$6,IF($E31&gt;Settings!$B$14,"NEITHER — over bench capacity",IF($E31&gt;=2*Settings!$B$12,Settings!$B$11,"NEITHER — under bench resolution"))))))</f>
        <v/>
      </c>
      <c r="G31" s="25" t="str">
        <f aca="false">IF($B31="","",IF($F31=Settings!$B$6,MAX(2*Settings!$B$7,Settings!$B$4*$E31),IF($F31=Settings!$B$11,MAX(2*Settings!$B$12,Settings!$B$4*$E31),"")))</f>
        <v/>
      </c>
      <c r="H31" s="27" t="str">
        <f aca="false">IF($B31="","",IF(LEFT($F31,6)="Listed","Quantity 0: shown on the station as a reminder, not weighed. Give it a weight to weigh it.",IF(LEFT($F31,7)="NEITHER","Cannot be weighed — split it, premix it, or raise the batch size",IF($G31&gt;Settings!$B$4*$E31+0.0001,"Held to the scale's resolution, not "&amp;TEXT(Settings!$B$4,"0%"),""))))</f>
        <v/>
      </c>
    </row>
    <row r="32" customFormat="false" ht="15" hidden="false" customHeight="false" outlineLevel="0" collapsed="false">
      <c r="A32" s="21" t="str">
        <f aca="false">IF($B32="","",24)</f>
        <v/>
      </c>
      <c r="B32" s="22"/>
      <c r="C32" s="23"/>
      <c r="D32" s="24" t="str">
        <f aca="false">IF($B32="","",$C32/1000)</f>
        <v/>
      </c>
      <c r="E32" s="25" t="str">
        <f aca="false">IF($B32="","",$D32*$C$4)</f>
        <v/>
      </c>
      <c r="F32" s="26" t="str">
        <f aca="false">IF($B32="","",IF($C32=0,"Listed — not weighed",IF($E32&lt;0,"NEITHER — negative weight",IF($E32&gt;=Settings!$B$19,Settings!$B$6,IF($E32&gt;Settings!$B$14,"NEITHER — over bench capacity",IF($E32&gt;=2*Settings!$B$12,Settings!$B$11,"NEITHER — under bench resolution"))))))</f>
        <v/>
      </c>
      <c r="G32" s="25" t="str">
        <f aca="false">IF($B32="","",IF($F32=Settings!$B$6,MAX(2*Settings!$B$7,Settings!$B$4*$E32),IF($F32=Settings!$B$11,MAX(2*Settings!$B$12,Settings!$B$4*$E32),"")))</f>
        <v/>
      </c>
      <c r="H32" s="27" t="str">
        <f aca="false">IF($B32="","",IF(LEFT($F32,6)="Listed","Quantity 0: shown on the station as a reminder, not weighed. Give it a weight to weigh it.",IF(LEFT($F32,7)="NEITHER","Cannot be weighed — split it, premix it, or raise the batch size",IF($G32&gt;Settings!$B$4*$E32+0.0001,"Held to the scale's resolution, not "&amp;TEXT(Settings!$B$4,"0%"),""))))</f>
        <v/>
      </c>
    </row>
    <row r="33" customFormat="false" ht="15" hidden="false" customHeight="false" outlineLevel="0" collapsed="false">
      <c r="A33" s="21" t="str">
        <f aca="false">IF($B33="","",25)</f>
        <v/>
      </c>
      <c r="B33" s="22"/>
      <c r="C33" s="23"/>
      <c r="D33" s="24" t="str">
        <f aca="false">IF($B33="","",$C33/1000)</f>
        <v/>
      </c>
      <c r="E33" s="25" t="str">
        <f aca="false">IF($B33="","",$D33*$C$4)</f>
        <v/>
      </c>
      <c r="F33" s="26" t="str">
        <f aca="false">IF($B33="","",IF($C33=0,"Listed — not weighed",IF($E33&lt;0,"NEITHER — negative weight",IF($E33&gt;=Settings!$B$19,Settings!$B$6,IF($E33&gt;Settings!$B$14,"NEITHER — over bench capacity",IF($E33&gt;=2*Settings!$B$12,Settings!$B$11,"NEITHER — under bench resolution"))))))</f>
        <v/>
      </c>
      <c r="G33" s="25" t="str">
        <f aca="false">IF($B33="","",IF($F33=Settings!$B$6,MAX(2*Settings!$B$7,Settings!$B$4*$E33),IF($F33=Settings!$B$11,MAX(2*Settings!$B$12,Settings!$B$4*$E33),"")))</f>
        <v/>
      </c>
      <c r="H33" s="27" t="str">
        <f aca="false">IF($B33="","",IF(LEFT($F33,6)="Listed","Quantity 0: shown on the station as a reminder, not weighed. Give it a weight to weigh it.",IF(LEFT($F33,7)="NEITHER","Cannot be weighed — split it, premix it, or raise the batch size",IF($G33&gt;Settings!$B$4*$E33+0.0001,"Held to the scale's resolution, not "&amp;TEXT(Settings!$B$4,"0%"),""))))</f>
        <v/>
      </c>
    </row>
    <row r="34" customFormat="false" ht="15" hidden="false" customHeight="false" outlineLevel="0" collapsed="false">
      <c r="A34" s="21" t="str">
        <f aca="false">IF($B34="","",26)</f>
        <v/>
      </c>
      <c r="B34" s="22"/>
      <c r="C34" s="23"/>
      <c r="D34" s="24" t="str">
        <f aca="false">IF($B34="","",$C34/1000)</f>
        <v/>
      </c>
      <c r="E34" s="25" t="str">
        <f aca="false">IF($B34="","",$D34*$C$4)</f>
        <v/>
      </c>
      <c r="F34" s="26" t="str">
        <f aca="false">IF($B34="","",IF($C34=0,"Listed — not weighed",IF($E34&lt;0,"NEITHER — negative weight",IF($E34&gt;=Settings!$B$19,Settings!$B$6,IF($E34&gt;Settings!$B$14,"NEITHER — over bench capacity",IF($E34&gt;=2*Settings!$B$12,Settings!$B$11,"NEITHER — under bench resolution"))))))</f>
        <v/>
      </c>
      <c r="G34" s="25" t="str">
        <f aca="false">IF($B34="","",IF($F34=Settings!$B$6,MAX(2*Settings!$B$7,Settings!$B$4*$E34),IF($F34=Settings!$B$11,MAX(2*Settings!$B$12,Settings!$B$4*$E34),"")))</f>
        <v/>
      </c>
      <c r="H34" s="27" t="str">
        <f aca="false">IF($B34="","",IF(LEFT($F34,6)="Listed","Quantity 0: shown on the station as a reminder, not weighed. Give it a weight to weigh it.",IF(LEFT($F34,7)="NEITHER","Cannot be weighed — split it, premix it, or raise the batch size",IF($G34&gt;Settings!$B$4*$E34+0.0001,"Held to the scale's resolution, not "&amp;TEXT(Settings!$B$4,"0%"),""))))</f>
        <v/>
      </c>
    </row>
    <row r="35" customFormat="false" ht="15" hidden="false" customHeight="false" outlineLevel="0" collapsed="false">
      <c r="A35" s="21" t="str">
        <f aca="false">IF($B35="","",27)</f>
        <v/>
      </c>
      <c r="B35" s="22"/>
      <c r="C35" s="23"/>
      <c r="D35" s="24" t="str">
        <f aca="false">IF($B35="","",$C35/1000)</f>
        <v/>
      </c>
      <c r="E35" s="25" t="str">
        <f aca="false">IF($B35="","",$D35*$C$4)</f>
        <v/>
      </c>
      <c r="F35" s="26" t="str">
        <f aca="false">IF($B35="","",IF($C35=0,"Listed — not weighed",IF($E35&lt;0,"NEITHER — negative weight",IF($E35&gt;=Settings!$B$19,Settings!$B$6,IF($E35&gt;Settings!$B$14,"NEITHER — over bench capacity",IF($E35&gt;=2*Settings!$B$12,Settings!$B$11,"NEITHER — under bench resolution"))))))</f>
        <v/>
      </c>
      <c r="G35" s="25" t="str">
        <f aca="false">IF($B35="","",IF($F35=Settings!$B$6,MAX(2*Settings!$B$7,Settings!$B$4*$E35),IF($F35=Settings!$B$11,MAX(2*Settings!$B$12,Settings!$B$4*$E35),"")))</f>
        <v/>
      </c>
      <c r="H35" s="27" t="str">
        <f aca="false">IF($B35="","",IF(LEFT($F35,6)="Listed","Quantity 0: shown on the station as a reminder, not weighed. Give it a weight to weigh it.",IF(LEFT($F35,7)="NEITHER","Cannot be weighed — split it, premix it, or raise the batch size",IF($G35&gt;Settings!$B$4*$E35+0.0001,"Held to the scale's resolution, not "&amp;TEXT(Settings!$B$4,"0%"),""))))</f>
        <v/>
      </c>
    </row>
    <row r="36" customFormat="false" ht="15" hidden="false" customHeight="false" outlineLevel="0" collapsed="false">
      <c r="A36" s="21" t="str">
        <f aca="false">IF($B36="","",28)</f>
        <v/>
      </c>
      <c r="B36" s="22"/>
      <c r="C36" s="23"/>
      <c r="D36" s="24" t="str">
        <f aca="false">IF($B36="","",$C36/1000)</f>
        <v/>
      </c>
      <c r="E36" s="25" t="str">
        <f aca="false">IF($B36="","",$D36*$C$4)</f>
        <v/>
      </c>
      <c r="F36" s="26" t="str">
        <f aca="false">IF($B36="","",IF($C36=0,"Listed — not weighed",IF($E36&lt;0,"NEITHER — negative weight",IF($E36&gt;=Settings!$B$19,Settings!$B$6,IF($E36&gt;Settings!$B$14,"NEITHER — over bench capacity",IF($E36&gt;=2*Settings!$B$12,Settings!$B$11,"NEITHER — under bench resolution"))))))</f>
        <v/>
      </c>
      <c r="G36" s="25" t="str">
        <f aca="false">IF($B36="","",IF($F36=Settings!$B$6,MAX(2*Settings!$B$7,Settings!$B$4*$E36),IF($F36=Settings!$B$11,MAX(2*Settings!$B$12,Settings!$B$4*$E36),"")))</f>
        <v/>
      </c>
      <c r="H36" s="27" t="str">
        <f aca="false">IF($B36="","",IF(LEFT($F36,6)="Listed","Quantity 0: shown on the station as a reminder, not weighed. Give it a weight to weigh it.",IF(LEFT($F36,7)="NEITHER","Cannot be weighed — split it, premix it, or raise the batch size",IF($G36&gt;Settings!$B$4*$E36+0.0001,"Held to the scale's resolution, not "&amp;TEXT(Settings!$B$4,"0%"),""))))</f>
        <v/>
      </c>
    </row>
    <row r="37" customFormat="false" ht="15" hidden="false" customHeight="false" outlineLevel="0" collapsed="false">
      <c r="A37" s="21" t="str">
        <f aca="false">IF($B37="","",29)</f>
        <v/>
      </c>
      <c r="B37" s="22"/>
      <c r="C37" s="23"/>
      <c r="D37" s="24" t="str">
        <f aca="false">IF($B37="","",$C37/1000)</f>
        <v/>
      </c>
      <c r="E37" s="25" t="str">
        <f aca="false">IF($B37="","",$D37*$C$4)</f>
        <v/>
      </c>
      <c r="F37" s="26" t="str">
        <f aca="false">IF($B37="","",IF($C37=0,"Listed — not weighed",IF($E37&lt;0,"NEITHER — negative weight",IF($E37&gt;=Settings!$B$19,Settings!$B$6,IF($E37&gt;Settings!$B$14,"NEITHER — over bench capacity",IF($E37&gt;=2*Settings!$B$12,Settings!$B$11,"NEITHER — under bench resolution"))))))</f>
        <v/>
      </c>
      <c r="G37" s="25" t="str">
        <f aca="false">IF($B37="","",IF($F37=Settings!$B$6,MAX(2*Settings!$B$7,Settings!$B$4*$E37),IF($F37=Settings!$B$11,MAX(2*Settings!$B$12,Settings!$B$4*$E37),"")))</f>
        <v/>
      </c>
      <c r="H37" s="27" t="str">
        <f aca="false">IF($B37="","",IF(LEFT($F37,6)="Listed","Quantity 0: shown on the station as a reminder, not weighed. Give it a weight to weigh it.",IF(LEFT($F37,7)="NEITHER","Cannot be weighed — split it, premix it, or raise the batch size",IF($G37&gt;Settings!$B$4*$E37+0.0001,"Held to the scale's resolution, not "&amp;TEXT(Settings!$B$4,"0%"),""))))</f>
        <v/>
      </c>
    </row>
    <row r="38" customFormat="false" ht="15" hidden="false" customHeight="false" outlineLevel="0" collapsed="false">
      <c r="A38" s="21" t="str">
        <f aca="false">IF($B38="","",30)</f>
        <v/>
      </c>
      <c r="B38" s="22"/>
      <c r="C38" s="23"/>
      <c r="D38" s="24" t="str">
        <f aca="false">IF($B38="","",$C38/1000)</f>
        <v/>
      </c>
      <c r="E38" s="25" t="str">
        <f aca="false">IF($B38="","",$D38*$C$4)</f>
        <v/>
      </c>
      <c r="F38" s="26" t="str">
        <f aca="false">IF($B38="","",IF($C38=0,"Listed — not weighed",IF($E38&lt;0,"NEITHER — negative weight",IF($E38&gt;=Settings!$B$19,Settings!$B$6,IF($E38&gt;Settings!$B$14,"NEITHER — over bench capacity",IF($E38&gt;=2*Settings!$B$12,Settings!$B$11,"NEITHER — under bench resolution"))))))</f>
        <v/>
      </c>
      <c r="G38" s="25" t="str">
        <f aca="false">IF($B38="","",IF($F38=Settings!$B$6,MAX(2*Settings!$B$7,Settings!$B$4*$E38),IF($F38=Settings!$B$11,MAX(2*Settings!$B$12,Settings!$B$4*$E38),"")))</f>
        <v/>
      </c>
      <c r="H38" s="27" t="str">
        <f aca="false">IF($B38="","",IF(LEFT($F38,6)="Listed","Quantity 0: shown on the station as a reminder, not weighed. Give it a weight to weigh it.",IF(LEFT($F38,7)="NEITHER","Cannot be weighed — split it, premix it, or raise the batch size",IF($G38&gt;Settings!$B$4*$E38+0.0001,"Held to the scale's resolution, not "&amp;TEXT(Settings!$B$4,"0%"),""))))</f>
        <v/>
      </c>
    </row>
    <row r="39" customFormat="false" ht="15" hidden="false" customHeight="false" outlineLevel="0" collapsed="false">
      <c r="A39" s="21" t="str">
        <f aca="false">IF($B39="","",31)</f>
        <v/>
      </c>
      <c r="B39" s="22"/>
      <c r="C39" s="23"/>
      <c r="D39" s="24" t="str">
        <f aca="false">IF($B39="","",$C39/1000)</f>
        <v/>
      </c>
      <c r="E39" s="25" t="str">
        <f aca="false">IF($B39="","",$D39*$C$4)</f>
        <v/>
      </c>
      <c r="F39" s="26" t="str">
        <f aca="false">IF($B39="","",IF($C39=0,"Listed — not weighed",IF($E39&lt;0,"NEITHER — negative weight",IF($E39&gt;=Settings!$B$19,Settings!$B$6,IF($E39&gt;Settings!$B$14,"NEITHER — over bench capacity",IF($E39&gt;=2*Settings!$B$12,Settings!$B$11,"NEITHER — under bench resolution"))))))</f>
        <v/>
      </c>
      <c r="G39" s="25" t="str">
        <f aca="false">IF($B39="","",IF($F39=Settings!$B$6,MAX(2*Settings!$B$7,Settings!$B$4*$E39),IF($F39=Settings!$B$11,MAX(2*Settings!$B$12,Settings!$B$4*$E39),"")))</f>
        <v/>
      </c>
      <c r="H39" s="27" t="str">
        <f aca="false">IF($B39="","",IF(LEFT($F39,6)="Listed","Quantity 0: shown on the station as a reminder, not weighed. Give it a weight to weigh it.",IF(LEFT($F39,7)="NEITHER","Cannot be weighed — split it, premix it, or raise the batch size",IF($G39&gt;Settings!$B$4*$E39+0.0001,"Held to the scale's resolution, not "&amp;TEXT(Settings!$B$4,"0%"),""))))</f>
        <v/>
      </c>
    </row>
    <row r="40" customFormat="false" ht="15" hidden="false" customHeight="false" outlineLevel="0" collapsed="false">
      <c r="A40" s="21" t="str">
        <f aca="false">IF($B40="","",32)</f>
        <v/>
      </c>
      <c r="B40" s="22"/>
      <c r="C40" s="23"/>
      <c r="D40" s="24" t="str">
        <f aca="false">IF($B40="","",$C40/1000)</f>
        <v/>
      </c>
      <c r="E40" s="25" t="str">
        <f aca="false">IF($B40="","",$D40*$C$4)</f>
        <v/>
      </c>
      <c r="F40" s="26" t="str">
        <f aca="false">IF($B40="","",IF($C40=0,"Listed — not weighed",IF($E40&lt;0,"NEITHER — negative weight",IF($E40&gt;=Settings!$B$19,Settings!$B$6,IF($E40&gt;Settings!$B$14,"NEITHER — over bench capacity",IF($E40&gt;=2*Settings!$B$12,Settings!$B$11,"NEITHER — under bench resolution"))))))</f>
        <v/>
      </c>
      <c r="G40" s="25" t="str">
        <f aca="false">IF($B40="","",IF($F40=Settings!$B$6,MAX(2*Settings!$B$7,Settings!$B$4*$E40),IF($F40=Settings!$B$11,MAX(2*Settings!$B$12,Settings!$B$4*$E40),"")))</f>
        <v/>
      </c>
      <c r="H40" s="27" t="str">
        <f aca="false">IF($B40="","",IF(LEFT($F40,6)="Listed","Quantity 0: shown on the station as a reminder, not weighed. Give it a weight to weigh it.",IF(LEFT($F40,7)="NEITHER","Cannot be weighed — split it, premix it, or raise the batch size",IF($G40&gt;Settings!$B$4*$E40+0.0001,"Held to the scale's resolution, not "&amp;TEXT(Settings!$B$4,"0%"),""))))</f>
        <v/>
      </c>
    </row>
    <row r="41" customFormat="false" ht="15" hidden="false" customHeight="false" outlineLevel="0" collapsed="false">
      <c r="A41" s="21" t="str">
        <f aca="false">IF($B41="","",33)</f>
        <v/>
      </c>
      <c r="B41" s="22"/>
      <c r="C41" s="23"/>
      <c r="D41" s="24" t="str">
        <f aca="false">IF($B41="","",$C41/1000)</f>
        <v/>
      </c>
      <c r="E41" s="25" t="str">
        <f aca="false">IF($B41="","",$D41*$C$4)</f>
        <v/>
      </c>
      <c r="F41" s="26" t="str">
        <f aca="false">IF($B41="","",IF($C41=0,"Listed — not weighed",IF($E41&lt;0,"NEITHER — negative weight",IF($E41&gt;=Settings!$B$19,Settings!$B$6,IF($E41&gt;Settings!$B$14,"NEITHER — over bench capacity",IF($E41&gt;=2*Settings!$B$12,Settings!$B$11,"NEITHER — under bench resolution"))))))</f>
        <v/>
      </c>
      <c r="G41" s="25" t="str">
        <f aca="false">IF($B41="","",IF($F41=Settings!$B$6,MAX(2*Settings!$B$7,Settings!$B$4*$E41),IF($F41=Settings!$B$11,MAX(2*Settings!$B$12,Settings!$B$4*$E41),"")))</f>
        <v/>
      </c>
      <c r="H41" s="27" t="str">
        <f aca="false">IF($B41="","",IF(LEFT($F41,6)="Listed","Quantity 0: shown on the station as a reminder, not weighed. Give it a weight to weigh it.",IF(LEFT($F41,7)="NEITHER","Cannot be weighed — split it, premix it, or raise the batch size",IF($G41&gt;Settings!$B$4*$E41+0.0001,"Held to the scale's resolution, not "&amp;TEXT(Settings!$B$4,"0%"),""))))</f>
        <v/>
      </c>
    </row>
    <row r="42" customFormat="false" ht="15" hidden="false" customHeight="false" outlineLevel="0" collapsed="false">
      <c r="A42" s="21" t="str">
        <f aca="false">IF($B42="","",34)</f>
        <v/>
      </c>
      <c r="B42" s="22"/>
      <c r="C42" s="23"/>
      <c r="D42" s="24" t="str">
        <f aca="false">IF($B42="","",$C42/1000)</f>
        <v/>
      </c>
      <c r="E42" s="25" t="str">
        <f aca="false">IF($B42="","",$D42*$C$4)</f>
        <v/>
      </c>
      <c r="F42" s="26" t="str">
        <f aca="false">IF($B42="","",IF($C42=0,"Listed — not weighed",IF($E42&lt;0,"NEITHER — negative weight",IF($E42&gt;=Settings!$B$19,Settings!$B$6,IF($E42&gt;Settings!$B$14,"NEITHER — over bench capacity",IF($E42&gt;=2*Settings!$B$12,Settings!$B$11,"NEITHER — under bench resolution"))))))</f>
        <v/>
      </c>
      <c r="G42" s="25" t="str">
        <f aca="false">IF($B42="","",IF($F42=Settings!$B$6,MAX(2*Settings!$B$7,Settings!$B$4*$E42),IF($F42=Settings!$B$11,MAX(2*Settings!$B$12,Settings!$B$4*$E42),"")))</f>
        <v/>
      </c>
      <c r="H42" s="27" t="str">
        <f aca="false">IF($B42="","",IF(LEFT($F42,6)="Listed","Quantity 0: shown on the station as a reminder, not weighed. Give it a weight to weigh it.",IF(LEFT($F42,7)="NEITHER","Cannot be weighed — split it, premix it, or raise the batch size",IF($G42&gt;Settings!$B$4*$E42+0.0001,"Held to the scale's resolution, not "&amp;TEXT(Settings!$B$4,"0%"),""))))</f>
        <v/>
      </c>
    </row>
    <row r="43" customFormat="false" ht="15" hidden="false" customHeight="false" outlineLevel="0" collapsed="false">
      <c r="A43" s="21" t="str">
        <f aca="false">IF($B43="","",35)</f>
        <v/>
      </c>
      <c r="B43" s="22"/>
      <c r="C43" s="23"/>
      <c r="D43" s="24" t="str">
        <f aca="false">IF($B43="","",$C43/1000)</f>
        <v/>
      </c>
      <c r="E43" s="25" t="str">
        <f aca="false">IF($B43="","",$D43*$C$4)</f>
        <v/>
      </c>
      <c r="F43" s="26" t="str">
        <f aca="false">IF($B43="","",IF($C43=0,"Listed — not weighed",IF($E43&lt;0,"NEITHER — negative weight",IF($E43&gt;=Settings!$B$19,Settings!$B$6,IF($E43&gt;Settings!$B$14,"NEITHER — over bench capacity",IF($E43&gt;=2*Settings!$B$12,Settings!$B$11,"NEITHER — under bench resolution"))))))</f>
        <v/>
      </c>
      <c r="G43" s="25" t="str">
        <f aca="false">IF($B43="","",IF($F43=Settings!$B$6,MAX(2*Settings!$B$7,Settings!$B$4*$E43),IF($F43=Settings!$B$11,MAX(2*Settings!$B$12,Settings!$B$4*$E43),"")))</f>
        <v/>
      </c>
      <c r="H43" s="27" t="str">
        <f aca="false">IF($B43="","",IF(LEFT($F43,6)="Listed","Quantity 0: shown on the station as a reminder, not weighed. Give it a weight to weigh it.",IF(LEFT($F43,7)="NEITHER","Cannot be weighed — split it, premix it, or raise the batch size",IF($G43&gt;Settings!$B$4*$E43+0.0001,"Held to the scale's resolution, not "&amp;TEXT(Settings!$B$4,"0%"),""))))</f>
        <v/>
      </c>
    </row>
    <row r="44" customFormat="false" ht="15" hidden="false" customHeight="false" outlineLevel="0" collapsed="false">
      <c r="A44" s="21" t="str">
        <f aca="false">IF($B44="","",36)</f>
        <v/>
      </c>
      <c r="B44" s="22"/>
      <c r="C44" s="23"/>
      <c r="D44" s="24" t="str">
        <f aca="false">IF($B44="","",$C44/1000)</f>
        <v/>
      </c>
      <c r="E44" s="25" t="str">
        <f aca="false">IF($B44="","",$D44*$C$4)</f>
        <v/>
      </c>
      <c r="F44" s="26" t="str">
        <f aca="false">IF($B44="","",IF($C44=0,"Listed — not weighed",IF($E44&lt;0,"NEITHER — negative weight",IF($E44&gt;=Settings!$B$19,Settings!$B$6,IF($E44&gt;Settings!$B$14,"NEITHER — over bench capacity",IF($E44&gt;=2*Settings!$B$12,Settings!$B$11,"NEITHER — under bench resolution"))))))</f>
        <v/>
      </c>
      <c r="G44" s="25" t="str">
        <f aca="false">IF($B44="","",IF($F44=Settings!$B$6,MAX(2*Settings!$B$7,Settings!$B$4*$E44),IF($F44=Settings!$B$11,MAX(2*Settings!$B$12,Settings!$B$4*$E44),"")))</f>
        <v/>
      </c>
      <c r="H44" s="27" t="str">
        <f aca="false">IF($B44="","",IF(LEFT($F44,6)="Listed","Quantity 0: shown on the station as a reminder, not weighed. Give it a weight to weigh it.",IF(LEFT($F44,7)="NEITHER","Cannot be weighed — split it, premix it, or raise the batch size",IF($G44&gt;Settings!$B$4*$E44+0.0001,"Held to the scale's resolution, not "&amp;TEXT(Settings!$B$4,"0%"),""))))</f>
        <v/>
      </c>
    </row>
    <row r="45" customFormat="false" ht="15" hidden="false" customHeight="false" outlineLevel="0" collapsed="false">
      <c r="A45" s="21" t="str">
        <f aca="false">IF($B45="","",37)</f>
        <v/>
      </c>
      <c r="B45" s="22"/>
      <c r="C45" s="23"/>
      <c r="D45" s="24" t="str">
        <f aca="false">IF($B45="","",$C45/1000)</f>
        <v/>
      </c>
      <c r="E45" s="25" t="str">
        <f aca="false">IF($B45="","",$D45*$C$4)</f>
        <v/>
      </c>
      <c r="F45" s="26" t="str">
        <f aca="false">IF($B45="","",IF($C45=0,"Listed — not weighed",IF($E45&lt;0,"NEITHER — negative weight",IF($E45&gt;=Settings!$B$19,Settings!$B$6,IF($E45&gt;Settings!$B$14,"NEITHER — over bench capacity",IF($E45&gt;=2*Settings!$B$12,Settings!$B$11,"NEITHER — under bench resolution"))))))</f>
        <v/>
      </c>
      <c r="G45" s="25" t="str">
        <f aca="false">IF($B45="","",IF($F45=Settings!$B$6,MAX(2*Settings!$B$7,Settings!$B$4*$E45),IF($F45=Settings!$B$11,MAX(2*Settings!$B$12,Settings!$B$4*$E45),"")))</f>
        <v/>
      </c>
      <c r="H45" s="27" t="str">
        <f aca="false">IF($B45="","",IF(LEFT($F45,6)="Listed","Quantity 0: shown on the station as a reminder, not weighed. Give it a weight to weigh it.",IF(LEFT($F45,7)="NEITHER","Cannot be weighed — split it, premix it, or raise the batch size",IF($G45&gt;Settings!$B$4*$E45+0.0001,"Held to the scale's resolution, not "&amp;TEXT(Settings!$B$4,"0%"),""))))</f>
        <v/>
      </c>
    </row>
    <row r="46" customFormat="false" ht="15" hidden="false" customHeight="false" outlineLevel="0" collapsed="false">
      <c r="A46" s="21" t="str">
        <f aca="false">IF($B46="","",38)</f>
        <v/>
      </c>
      <c r="B46" s="22"/>
      <c r="C46" s="23"/>
      <c r="D46" s="24" t="str">
        <f aca="false">IF($B46="","",$C46/1000)</f>
        <v/>
      </c>
      <c r="E46" s="25" t="str">
        <f aca="false">IF($B46="","",$D46*$C$4)</f>
        <v/>
      </c>
      <c r="F46" s="26" t="str">
        <f aca="false">IF($B46="","",IF($C46=0,"Listed — not weighed",IF($E46&lt;0,"NEITHER — negative weight",IF($E46&gt;=Settings!$B$19,Settings!$B$6,IF($E46&gt;Settings!$B$14,"NEITHER — over bench capacity",IF($E46&gt;=2*Settings!$B$12,Settings!$B$11,"NEITHER — under bench resolution"))))))</f>
        <v/>
      </c>
      <c r="G46" s="25" t="str">
        <f aca="false">IF($B46="","",IF($F46=Settings!$B$6,MAX(2*Settings!$B$7,Settings!$B$4*$E46),IF($F46=Settings!$B$11,MAX(2*Settings!$B$12,Settings!$B$4*$E46),"")))</f>
        <v/>
      </c>
      <c r="H46" s="27" t="str">
        <f aca="false">IF($B46="","",IF(LEFT($F46,6)="Listed","Quantity 0: shown on the station as a reminder, not weighed. Give it a weight to weigh it.",IF(LEFT($F46,7)="NEITHER","Cannot be weighed — split it, premix it, or raise the batch size",IF($G46&gt;Settings!$B$4*$E46+0.0001,"Held to the scale's resolution, not "&amp;TEXT(Settings!$B$4,"0%"),""))))</f>
        <v/>
      </c>
    </row>
    <row r="47" customFormat="false" ht="15" hidden="false" customHeight="false" outlineLevel="0" collapsed="false">
      <c r="A47" s="21" t="str">
        <f aca="false">IF($B47="","",39)</f>
        <v/>
      </c>
      <c r="B47" s="22"/>
      <c r="C47" s="23"/>
      <c r="D47" s="24" t="str">
        <f aca="false">IF($B47="","",$C47/1000)</f>
        <v/>
      </c>
      <c r="E47" s="25" t="str">
        <f aca="false">IF($B47="","",$D47*$C$4)</f>
        <v/>
      </c>
      <c r="F47" s="26" t="str">
        <f aca="false">IF($B47="","",IF($C47=0,"Listed — not weighed",IF($E47&lt;0,"NEITHER — negative weight",IF($E47&gt;=Settings!$B$19,Settings!$B$6,IF($E47&gt;Settings!$B$14,"NEITHER — over bench capacity",IF($E47&gt;=2*Settings!$B$12,Settings!$B$11,"NEITHER — under bench resolution"))))))</f>
        <v/>
      </c>
      <c r="G47" s="25" t="str">
        <f aca="false">IF($B47="","",IF($F47=Settings!$B$6,MAX(2*Settings!$B$7,Settings!$B$4*$E47),IF($F47=Settings!$B$11,MAX(2*Settings!$B$12,Settings!$B$4*$E47),"")))</f>
        <v/>
      </c>
      <c r="H47" s="27" t="str">
        <f aca="false">IF($B47="","",IF(LEFT($F47,6)="Listed","Quantity 0: shown on the station as a reminder, not weighed. Give it a weight to weigh it.",IF(LEFT($F47,7)="NEITHER","Cannot be weighed — split it, premix it, or raise the batch size",IF($G47&gt;Settings!$B$4*$E47+0.0001,"Held to the scale's resolution, not "&amp;TEXT(Settings!$B$4,"0%"),""))))</f>
        <v/>
      </c>
    </row>
    <row r="48" customFormat="false" ht="15" hidden="false" customHeight="false" outlineLevel="0" collapsed="false">
      <c r="A48" s="21" t="str">
        <f aca="false">IF($B48="","",40)</f>
        <v/>
      </c>
      <c r="B48" s="22"/>
      <c r="C48" s="23"/>
      <c r="D48" s="24" t="str">
        <f aca="false">IF($B48="","",$C48/1000)</f>
        <v/>
      </c>
      <c r="E48" s="25" t="str">
        <f aca="false">IF($B48="","",$D48*$C$4)</f>
        <v/>
      </c>
      <c r="F48" s="26" t="str">
        <f aca="false">IF($B48="","",IF($C48=0,"Listed — not weighed",IF($E48&lt;0,"NEITHER — negative weight",IF($E48&gt;=Settings!$B$19,Settings!$B$6,IF($E48&gt;Settings!$B$14,"NEITHER — over bench capacity",IF($E48&gt;=2*Settings!$B$12,Settings!$B$11,"NEITHER — under bench resolution"))))))</f>
        <v/>
      </c>
      <c r="G48" s="25" t="str">
        <f aca="false">IF($B48="","",IF($F48=Settings!$B$6,MAX(2*Settings!$B$7,Settings!$B$4*$E48),IF($F48=Settings!$B$11,MAX(2*Settings!$B$12,Settings!$B$4*$E48),"")))</f>
        <v/>
      </c>
      <c r="H48" s="27" t="str">
        <f aca="false">IF($B48="","",IF(LEFT($F48,6)="Listed","Quantity 0: shown on the station as a reminder, not weighed. Give it a weight to weigh it.",IF(LEFT($F48,7)="NEITHER","Cannot be weighed — split it, premix it, or raise the batch size",IF($G48&gt;Settings!$B$4*$E48+0.0001,"Held to the scale's resolution, not "&amp;TEXT(Settings!$B$4,"0%"),""))))</f>
        <v/>
      </c>
    </row>
    <row r="50" customFormat="false" ht="15" hidden="false" customHeight="false" outlineLevel="0" collapsed="false">
      <c r="B50" s="17" t="s">
        <v>67</v>
      </c>
      <c r="C50" s="28" t="n">
        <f aca="false">SUM(C9:C48)</f>
        <v>316.3</v>
      </c>
      <c r="D50" s="29" t="n">
        <f aca="false">SUM(D9:D48)</f>
        <v>0.3163</v>
      </c>
      <c r="E50" s="28" t="n">
        <f aca="false">SUM(E9:E48)</f>
        <v>1012.16</v>
      </c>
    </row>
    <row r="51" customFormat="false" ht="15" hidden="false" customHeight="false" outlineLevel="0" collapsed="false">
      <c r="B51" s="5" t="s">
        <v>68</v>
      </c>
      <c r="E51" s="30" t="n">
        <f aca="false">$C$4+E50</f>
        <v>4212.16</v>
      </c>
    </row>
    <row r="53" customFormat="false" ht="15" hidden="false" customHeight="false" outlineLevel="0" collapsed="false">
      <c r="B53" s="15" t="str">
        <f aca="false">IF(COUNTIF($F$9:$F$48,"NEITHER*")=0,"All ingredients can be weighed.","WARNING: "&amp;COUNTIF($F$9:$F$48,"NEITHER*")&amp;" ingredient(s) cannot be weighed on either scale — see the Note column.")</f>
        <v>All ingredients can be weighed.</v>
      </c>
      <c r="C53" s="15"/>
      <c r="D53" s="15"/>
      <c r="E53" s="15"/>
      <c r="F53" s="15"/>
      <c r="G53" s="15"/>
      <c r="H53" s="15"/>
    </row>
    <row r="55" customFormat="false" ht="30" hidden="false" customHeight="true" outlineLevel="0" collapsed="false">
      <c r="B55" s="31" t="s">
        <v>86</v>
      </c>
      <c r="C55" s="31"/>
      <c r="D55" s="31"/>
      <c r="E55" s="31"/>
      <c r="F55" s="31"/>
      <c r="G55" s="31"/>
      <c r="H55" s="31"/>
    </row>
  </sheetData>
  <mergeCells count="16">
    <mergeCell ref="A1:H1"/>
    <mergeCell ref="A2:H2"/>
    <mergeCell ref="A3:B3"/>
    <mergeCell ref="D3:H3"/>
    <mergeCell ref="A4:B4"/>
    <mergeCell ref="D4:H4"/>
    <mergeCell ref="A5:B5"/>
    <mergeCell ref="D5:E5"/>
    <mergeCell ref="F5:H5"/>
    <mergeCell ref="A6:B6"/>
    <mergeCell ref="D6:E6"/>
    <mergeCell ref="F6:H6"/>
    <mergeCell ref="A7:B7"/>
    <mergeCell ref="D7:H7"/>
    <mergeCell ref="B53:H53"/>
    <mergeCell ref="B55:H55"/>
  </mergeCells>
  <conditionalFormatting sqref="B53:H53">
    <cfRule type="expression" priority="2" aboveAverage="0" equalAverage="0" bottom="0" percent="0" rank="0" text="" dxfId="0">
      <formula>LEFT($B$53,5)="ERROR"</formula>
    </cfRule>
  </conditionalFormatting>
  <conditionalFormatting sqref="A9:H48">
    <cfRule type="expression" priority="3" aboveAverage="0" equalAverage="0" bottom="0" percent="0" rank="0" text="" dxfId="1">
      <formula>LEFT($F9,7)="NEITHER"</formula>
    </cfRule>
    <cfRule type="expression" priority="4" aboveAverage="0" equalAverage="0" bottom="0" percent="0" rank="0" text="" dxfId="2">
      <formula>AND($B9&lt;&gt;"",$H9&lt;&gt;"")</formula>
    </cfRule>
  </conditionalFormatting>
  <dataValidations count="1">
    <dataValidation allowBlank="true" errorStyle="stop" operator="between" showDropDown="false" showErrorMessage="false" showInputMessage="false" sqref="B9:B48" type="list">
      <formula1>IngredientList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6"/>
    <col collapsed="false" customWidth="true" hidden="false" outlineLevel="0" max="4" min="4" style="0" width="11"/>
    <col collapsed="false" customWidth="true" hidden="false" outlineLevel="0" max="5" min="5" style="0" width="16"/>
    <col collapsed="false" customWidth="true" hidden="false" outlineLevel="0" max="6" min="6" style="0" width="18"/>
    <col collapsed="false" customWidth="true" hidden="false" outlineLevel="0" max="7" min="7" style="0" width="13"/>
    <col collapsed="false" customWidth="true" hidden="false" outlineLevel="0" max="8" min="8" style="0" width="46"/>
  </cols>
  <sheetData>
    <row r="1" customFormat="false" ht="17.35" hidden="false" customHeight="false" outlineLevel="0" collapsed="false">
      <c r="A1" s="1" t="s">
        <v>96</v>
      </c>
      <c r="B1" s="1"/>
      <c r="C1" s="1"/>
      <c r="D1" s="1"/>
      <c r="E1" s="1"/>
      <c r="F1" s="1"/>
      <c r="G1" s="1"/>
      <c r="H1" s="1"/>
    </row>
    <row r="2" customFormat="false" ht="15" hidden="false" customHeight="false" outlineLevel="0" collapsed="false">
      <c r="A2" s="2" t="s">
        <v>44</v>
      </c>
      <c r="B2" s="2"/>
      <c r="C2" s="2"/>
      <c r="D2" s="2"/>
      <c r="E2" s="2"/>
      <c r="F2" s="2"/>
      <c r="G2" s="2"/>
      <c r="H2" s="2"/>
    </row>
    <row r="3" customFormat="false" ht="15" hidden="false" customHeight="false" outlineLevel="0" collapsed="false">
      <c r="A3" s="16" t="s">
        <v>45</v>
      </c>
      <c r="B3" s="16"/>
      <c r="C3" s="17" t="s">
        <v>46</v>
      </c>
      <c r="D3" s="2" t="s">
        <v>47</v>
      </c>
      <c r="E3" s="2"/>
      <c r="F3" s="2"/>
      <c r="G3" s="2"/>
      <c r="H3" s="2"/>
    </row>
    <row r="4" customFormat="false" ht="15" hidden="false" customHeight="false" outlineLevel="0" collapsed="false">
      <c r="A4" s="16" t="s">
        <v>48</v>
      </c>
      <c r="B4" s="16"/>
      <c r="C4" s="18" t="n">
        <v>3200</v>
      </c>
      <c r="D4" s="2" t="s">
        <v>49</v>
      </c>
      <c r="E4" s="2"/>
      <c r="F4" s="2"/>
      <c r="G4" s="2"/>
      <c r="H4" s="2"/>
    </row>
    <row r="5" customFormat="false" ht="15" hidden="false" customHeight="false" outlineLevel="0" collapsed="false">
      <c r="A5" s="16" t="s">
        <v>50</v>
      </c>
      <c r="B5" s="16"/>
      <c r="C5" s="8" t="s">
        <v>97</v>
      </c>
      <c r="D5" s="16" t="s">
        <v>52</v>
      </c>
      <c r="E5" s="16"/>
      <c r="F5" s="19" t="s">
        <v>53</v>
      </c>
      <c r="G5" s="19"/>
      <c r="H5" s="19"/>
    </row>
    <row r="6" customFormat="false" ht="15" hidden="false" customHeight="false" outlineLevel="0" collapsed="false">
      <c r="A6" s="16" t="s">
        <v>54</v>
      </c>
      <c r="B6" s="16"/>
      <c r="C6" s="8"/>
      <c r="D6" s="16" t="s">
        <v>55</v>
      </c>
      <c r="E6" s="16"/>
      <c r="F6" s="19"/>
      <c r="G6" s="19"/>
      <c r="H6" s="19"/>
    </row>
    <row r="7" customFormat="false" ht="15" hidden="false" customHeight="false" outlineLevel="0" collapsed="false">
      <c r="A7" s="16" t="s">
        <v>56</v>
      </c>
      <c r="B7" s="16"/>
      <c r="C7" s="8"/>
      <c r="D7" s="2" t="s">
        <v>57</v>
      </c>
      <c r="E7" s="2"/>
      <c r="F7" s="2"/>
      <c r="G7" s="2"/>
      <c r="H7" s="2"/>
    </row>
    <row r="8" customFormat="false" ht="23.85" hidden="false" customHeight="false" outlineLevel="0" collapsed="false">
      <c r="A8" s="20" t="s">
        <v>58</v>
      </c>
      <c r="B8" s="20" t="s">
        <v>59</v>
      </c>
      <c r="C8" s="20" t="s">
        <v>60</v>
      </c>
      <c r="D8" s="20" t="s">
        <v>61</v>
      </c>
      <c r="E8" s="20" t="s">
        <v>62</v>
      </c>
      <c r="F8" s="20" t="s">
        <v>63</v>
      </c>
      <c r="G8" s="20" t="s">
        <v>64</v>
      </c>
      <c r="H8" s="20" t="s">
        <v>65</v>
      </c>
    </row>
    <row r="9" customFormat="false" ht="15" hidden="false" customHeight="false" outlineLevel="0" collapsed="false">
      <c r="A9" s="21" t="n">
        <f aca="false">IF($B9="","",1)</f>
        <v>1</v>
      </c>
      <c r="B9" s="22" t="s">
        <v>90</v>
      </c>
      <c r="C9" s="23" t="n">
        <v>1.228</v>
      </c>
      <c r="D9" s="24" t="n">
        <f aca="false">IF($B9="","",$C9/1000)</f>
        <v>0.001228</v>
      </c>
      <c r="E9" s="25" t="n">
        <f aca="false">IF($B9="","",$D9*$C$4)</f>
        <v>3.9296</v>
      </c>
      <c r="F9" s="26" t="str">
        <f aca="false">IF($B9="","",IF($C9=0,"Listed — not weighed",IF($E9&lt;0,"NEITHER — negative weight",IF($E9&gt;=Settings!$B$19,Settings!$B$6,IF($E9&gt;Settings!$B$14,"NEITHER — over bench capacity",IF($E9&gt;=2*Settings!$B$12,Settings!$B$11,"NEITHER — under bench resolution"))))))</f>
        <v>Small scale</v>
      </c>
      <c r="G9" s="25" t="n">
        <f aca="false">IF($B9="","",IF($F9=Settings!$B$6,MAX(2*Settings!$B$7,Settings!$B$4*$E9),IF($F9=Settings!$B$11,MAX(2*Settings!$B$12,Settings!$B$4*$E9),"")))</f>
        <v>0.2</v>
      </c>
      <c r="H9" s="27" t="str">
        <f aca="false">IF($B9="","",IF(LEFT($F9,6)="Listed","Quantity 0: shown on the station as a reminder, not weighed. Give it a weight to weigh it.",IF(LEFT($F9,7)="NEITHER","Cannot be weighed — split it, premix it, or raise the batch size",IF($G9&gt;Settings!$B$4*$E9+0.0001,"Held to the scale's resolution, not "&amp;TEXT(Settings!$B$4,"0%"),""))))</f>
        <v>Held to the scale's resolution, not 2%</v>
      </c>
    </row>
    <row r="10" customFormat="false" ht="15" hidden="false" customHeight="false" outlineLevel="0" collapsed="false">
      <c r="A10" s="21" t="n">
        <f aca="false">IF($B10="","",2)</f>
        <v>2</v>
      </c>
      <c r="B10" s="22" t="s">
        <v>83</v>
      </c>
      <c r="C10" s="23" t="n">
        <v>2.148</v>
      </c>
      <c r="D10" s="24" t="n">
        <f aca="false">IF($B10="","",$C10/1000)</f>
        <v>0.002148</v>
      </c>
      <c r="E10" s="25" t="n">
        <f aca="false">IF($B10="","",$D10*$C$4)</f>
        <v>6.8736</v>
      </c>
      <c r="F10" s="26" t="str">
        <f aca="false">IF($B10="","",IF($C10=0,"Listed — not weighed",IF($E10&lt;0,"NEITHER — negative weight",IF($E10&gt;=Settings!$B$19,Settings!$B$6,IF($E10&gt;Settings!$B$14,"NEITHER — over bench capacity",IF($E10&gt;=2*Settings!$B$12,Settings!$B$11,"NEITHER — under bench resolution"))))))</f>
        <v>Main scale</v>
      </c>
      <c r="G10" s="25" t="n">
        <f aca="false">IF($B10="","",IF($F10=Settings!$B$6,MAX(2*Settings!$B$7,Settings!$B$4*$E10),IF($F10=Settings!$B$11,MAX(2*Settings!$B$12,Settings!$B$4*$E10),"")))</f>
        <v>2</v>
      </c>
      <c r="H10" s="27" t="str">
        <f aca="false">IF($B10="","",IF(LEFT($F10,6)="Listed","Quantity 0: shown on the station as a reminder, not weighed. Give it a weight to weigh it.",IF(LEFT($F10,7)="NEITHER","Cannot be weighed — split it, premix it, or raise the batch size",IF($G10&gt;Settings!$B$4*$E10+0.0001,"Held to the scale's resolution, not "&amp;TEXT(Settings!$B$4,"0%"),""))))</f>
        <v>Held to the scale's resolution, not 2%</v>
      </c>
    </row>
    <row r="11" customFormat="false" ht="15" hidden="false" customHeight="false" outlineLevel="0" collapsed="false">
      <c r="A11" s="21" t="n">
        <f aca="false">IF($B11="","",3)</f>
        <v>3</v>
      </c>
      <c r="B11" s="22" t="s">
        <v>80</v>
      </c>
      <c r="C11" s="23" t="n">
        <v>14.108</v>
      </c>
      <c r="D11" s="24" t="n">
        <f aca="false">IF($B11="","",$C11/1000)</f>
        <v>0.014108</v>
      </c>
      <c r="E11" s="25" t="n">
        <f aca="false">IF($B11="","",$D11*$C$4)</f>
        <v>45.1456</v>
      </c>
      <c r="F11" s="26" t="str">
        <f aca="false">IF($B11="","",IF($C11=0,"Listed — not weighed",IF($E11&lt;0,"NEITHER — negative weight",IF($E11&gt;=Settings!$B$19,Settings!$B$6,IF($E11&gt;Settings!$B$14,"NEITHER — over bench capacity",IF($E11&gt;=2*Settings!$B$12,Settings!$B$11,"NEITHER — under bench resolution"))))))</f>
        <v>Main scale</v>
      </c>
      <c r="G11" s="25" t="n">
        <f aca="false">IF($B11="","",IF($F11=Settings!$B$6,MAX(2*Settings!$B$7,Settings!$B$4*$E11),IF($F11=Settings!$B$11,MAX(2*Settings!$B$12,Settings!$B$4*$E11),"")))</f>
        <v>2</v>
      </c>
      <c r="H11" s="27" t="str">
        <f aca="false">IF($B11="","",IF(LEFT($F11,6)="Listed","Quantity 0: shown on the station as a reminder, not weighed. Give it a weight to weigh it.",IF(LEFT($F11,7)="NEITHER","Cannot be weighed — split it, premix it, or raise the batch size",IF($G11&gt;Settings!$B$4*$E11+0.0001,"Held to the scale's resolution, not "&amp;TEXT(Settings!$B$4,"0%"),""))))</f>
        <v>Held to the scale's resolution, not 2%</v>
      </c>
    </row>
    <row r="12" customFormat="false" ht="15" hidden="false" customHeight="false" outlineLevel="0" collapsed="false">
      <c r="A12" s="21" t="n">
        <f aca="false">IF($B12="","",4)</f>
        <v>4</v>
      </c>
      <c r="B12" s="22" t="s">
        <v>76</v>
      </c>
      <c r="C12" s="23" t="n">
        <v>45.286</v>
      </c>
      <c r="D12" s="24" t="n">
        <f aca="false">IF($B12="","",$C12/1000)</f>
        <v>0.045286</v>
      </c>
      <c r="E12" s="25" t="n">
        <f aca="false">IF($B12="","",$D12*$C$4)</f>
        <v>144.9152</v>
      </c>
      <c r="F12" s="26" t="str">
        <f aca="false">IF($B12="","",IF($C12=0,"Listed — not weighed",IF($E12&lt;0,"NEITHER — negative weight",IF($E12&gt;=Settings!$B$19,Settings!$B$6,IF($E12&gt;Settings!$B$14,"NEITHER — over bench capacity",IF($E12&gt;=2*Settings!$B$12,Settings!$B$11,"NEITHER — under bench resolution"))))))</f>
        <v>Main scale</v>
      </c>
      <c r="G12" s="25" t="n">
        <f aca="false">IF($B12="","",IF($F12=Settings!$B$6,MAX(2*Settings!$B$7,Settings!$B$4*$E12),IF($F12=Settings!$B$11,MAX(2*Settings!$B$12,Settings!$B$4*$E12),"")))</f>
        <v>2.898304</v>
      </c>
      <c r="H12" s="27" t="str">
        <f aca="false">IF($B12="","",IF(LEFT($F12,6)="Listed","Quantity 0: shown on the station as a reminder, not weighed. Give it a weight to weigh it.",IF(LEFT($F12,7)="NEITHER","Cannot be weighed — split it, premix it, or raise the batch size",IF($G12&gt;Settings!$B$4*$E12+0.0001,"Held to the scale's resolution, not "&amp;TEXT(Settings!$B$4,"0%"),""))))</f>
        <v/>
      </c>
    </row>
    <row r="13" customFormat="false" ht="15" hidden="false" customHeight="false" outlineLevel="0" collapsed="false">
      <c r="A13" s="21" t="n">
        <f aca="false">IF($B13="","",5)</f>
        <v>5</v>
      </c>
      <c r="B13" s="22" t="s">
        <v>72</v>
      </c>
      <c r="C13" s="23" t="n">
        <v>161.344</v>
      </c>
      <c r="D13" s="24" t="n">
        <f aca="false">IF($B13="","",$C13/1000)</f>
        <v>0.161344</v>
      </c>
      <c r="E13" s="25" t="n">
        <f aca="false">IF($B13="","",$D13*$C$4)</f>
        <v>516.3008</v>
      </c>
      <c r="F13" s="26" t="str">
        <f aca="false">IF($B13="","",IF($C13=0,"Listed — not weighed",IF($E13&lt;0,"NEITHER — negative weight",IF($E13&gt;=Settings!$B$19,Settings!$B$6,IF($E13&gt;Settings!$B$14,"NEITHER — over bench capacity",IF($E13&gt;=2*Settings!$B$12,Settings!$B$11,"NEITHER — under bench resolution"))))))</f>
        <v>Main scale</v>
      </c>
      <c r="G13" s="25" t="n">
        <f aca="false">IF($B13="","",IF($F13=Settings!$B$6,MAX(2*Settings!$B$7,Settings!$B$4*$E13),IF($F13=Settings!$B$11,MAX(2*Settings!$B$12,Settings!$B$4*$E13),"")))</f>
        <v>10.326016</v>
      </c>
      <c r="H13" s="27" t="str">
        <f aca="false">IF($B13="","",IF(LEFT($F13,6)="Listed","Quantity 0: shown on the station as a reminder, not weighed. Give it a weight to weigh it.",IF(LEFT($F13,7)="NEITHER","Cannot be weighed — split it, premix it, or raise the batch size",IF($G13&gt;Settings!$B$4*$E13+0.0001,"Held to the scale's resolution, not "&amp;TEXT(Settings!$B$4,"0%"),""))))</f>
        <v/>
      </c>
    </row>
    <row r="14" customFormat="false" ht="15" hidden="false" customHeight="false" outlineLevel="0" collapsed="false">
      <c r="A14" s="21" t="n">
        <f aca="false">IF($B14="","",6)</f>
        <v>6</v>
      </c>
      <c r="B14" s="22" t="s">
        <v>98</v>
      </c>
      <c r="C14" s="23" t="n">
        <v>6.145</v>
      </c>
      <c r="D14" s="24" t="n">
        <f aca="false">IF($B14="","",$C14/1000)</f>
        <v>0.006145</v>
      </c>
      <c r="E14" s="25" t="n">
        <f aca="false">IF($B14="","",$D14*$C$4)</f>
        <v>19.664</v>
      </c>
      <c r="F14" s="26" t="str">
        <f aca="false">IF($B14="","",IF($C14=0,"Listed — not weighed",IF($E14&lt;0,"NEITHER — negative weight",IF($E14&gt;=Settings!$B$19,Settings!$B$6,IF($E14&gt;Settings!$B$14,"NEITHER — over bench capacity",IF($E14&gt;=2*Settings!$B$12,Settings!$B$11,"NEITHER — under bench resolution"))))))</f>
        <v>Main scale</v>
      </c>
      <c r="G14" s="25" t="n">
        <f aca="false">IF($B14="","",IF($F14=Settings!$B$6,MAX(2*Settings!$B$7,Settings!$B$4*$E14),IF($F14=Settings!$B$11,MAX(2*Settings!$B$12,Settings!$B$4*$E14),"")))</f>
        <v>2</v>
      </c>
      <c r="H14" s="27" t="str">
        <f aca="false">IF($B14="","",IF(LEFT($F14,6)="Listed","Quantity 0: shown on the station as a reminder, not weighed. Give it a weight to weigh it.",IF(LEFT($F14,7)="NEITHER","Cannot be weighed — split it, premix it, or raise the batch size",IF($G14&gt;Settings!$B$4*$E14+0.0001,"Held to the scale's resolution, not "&amp;TEXT(Settings!$B$4,"0%"),""))))</f>
        <v>Held to the scale's resolution, not 2%</v>
      </c>
    </row>
    <row r="15" customFormat="false" ht="15" hidden="false" customHeight="false" outlineLevel="0" collapsed="false">
      <c r="A15" s="21" t="n">
        <f aca="false">IF($B15="","",7)</f>
        <v>7</v>
      </c>
      <c r="B15" s="22" t="s">
        <v>99</v>
      </c>
      <c r="C15" s="23" t="n">
        <v>1</v>
      </c>
      <c r="D15" s="24" t="n">
        <f aca="false">IF($B15="","",$C15/1000)</f>
        <v>0.001</v>
      </c>
      <c r="E15" s="25" t="n">
        <f aca="false">IF($B15="","",$D15*$C$4)</f>
        <v>3.2</v>
      </c>
      <c r="F15" s="26" t="str">
        <f aca="false">IF($B15="","",IF($C15=0,"Listed — not weighed",IF($E15&lt;0,"NEITHER — negative weight",IF($E15&gt;=Settings!$B$19,Settings!$B$6,IF($E15&gt;Settings!$B$14,"NEITHER — over bench capacity",IF($E15&gt;=2*Settings!$B$12,Settings!$B$11,"NEITHER — under bench resolution"))))))</f>
        <v>Small scale</v>
      </c>
      <c r="G15" s="25" t="n">
        <f aca="false">IF($B15="","",IF($F15=Settings!$B$6,MAX(2*Settings!$B$7,Settings!$B$4*$E15),IF($F15=Settings!$B$11,MAX(2*Settings!$B$12,Settings!$B$4*$E15),"")))</f>
        <v>0.2</v>
      </c>
      <c r="H15" s="27" t="str">
        <f aca="false">IF($B15="","",IF(LEFT($F15,6)="Listed","Quantity 0: shown on the station as a reminder, not weighed. Give it a weight to weigh it.",IF(LEFT($F15,7)="NEITHER","Cannot be weighed — split it, premix it, or raise the batch size",IF($G15&gt;Settings!$B$4*$E15+0.0001,"Held to the scale's resolution, not "&amp;TEXT(Settings!$B$4,"0%"),""))))</f>
        <v>Held to the scale's resolution, not 2%</v>
      </c>
    </row>
    <row r="16" customFormat="false" ht="15" hidden="false" customHeight="false" outlineLevel="0" collapsed="false">
      <c r="A16" s="21" t="n">
        <f aca="false">IF($B16="","",8)</f>
        <v>8</v>
      </c>
      <c r="B16" s="22" t="s">
        <v>100</v>
      </c>
      <c r="C16" s="23" t="n">
        <v>2</v>
      </c>
      <c r="D16" s="24" t="n">
        <f aca="false">IF($B16="","",$C16/1000)</f>
        <v>0.002</v>
      </c>
      <c r="E16" s="25" t="n">
        <f aca="false">IF($B16="","",$D16*$C$4)</f>
        <v>6.4</v>
      </c>
      <c r="F16" s="26" t="str">
        <f aca="false">IF($B16="","",IF($C16=0,"Listed — not weighed",IF($E16&lt;0,"NEITHER — negative weight",IF($E16&gt;=Settings!$B$19,Settings!$B$6,IF($E16&gt;Settings!$B$14,"NEITHER — over bench capacity",IF($E16&gt;=2*Settings!$B$12,Settings!$B$11,"NEITHER — under bench resolution"))))))</f>
        <v>Main scale</v>
      </c>
      <c r="G16" s="25" t="n">
        <f aca="false">IF($B16="","",IF($F16=Settings!$B$6,MAX(2*Settings!$B$7,Settings!$B$4*$E16),IF($F16=Settings!$B$11,MAX(2*Settings!$B$12,Settings!$B$4*$E16),"")))</f>
        <v>2</v>
      </c>
      <c r="H16" s="27" t="str">
        <f aca="false">IF($B16="","",IF(LEFT($F16,6)="Listed","Quantity 0: shown on the station as a reminder, not weighed. Give it a weight to weigh it.",IF(LEFT($F16,7)="NEITHER","Cannot be weighed — split it, premix it, or raise the batch size",IF($G16&gt;Settings!$B$4*$E16+0.0001,"Held to the scale's resolution, not "&amp;TEXT(Settings!$B$4,"0%"),""))))</f>
        <v>Held to the scale's resolution, not 2%</v>
      </c>
    </row>
    <row r="17" customFormat="false" ht="15" hidden="false" customHeight="false" outlineLevel="0" collapsed="false">
      <c r="A17" s="21" t="n">
        <f aca="false">IF($B17="","",9)</f>
        <v>9</v>
      </c>
      <c r="B17" s="22" t="s">
        <v>85</v>
      </c>
      <c r="C17" s="23" t="n">
        <v>0</v>
      </c>
      <c r="D17" s="24" t="n">
        <f aca="false">IF($B17="","",$C17/1000)</f>
        <v>0</v>
      </c>
      <c r="E17" s="25" t="n">
        <f aca="false">IF($B17="","",$D17*$C$4)</f>
        <v>0</v>
      </c>
      <c r="F17" s="26" t="str">
        <f aca="false">IF($B17="","",IF($C17=0,"Listed — not weighed",IF($E17&lt;0,"NEITHER — negative weight",IF($E17&gt;=Settings!$B$19,Settings!$B$6,IF($E17&gt;Settings!$B$14,"NEITHER — over bench capacity",IF($E17&gt;=2*Settings!$B$12,Settings!$B$11,"NEITHER — under bench resolution"))))))</f>
        <v>Listed — not weighed</v>
      </c>
      <c r="G17" s="25" t="str">
        <f aca="false">IF($B17="","",IF($F17=Settings!$B$6,MAX(2*Settings!$B$7,Settings!$B$4*$E17),IF($F17=Settings!$B$11,MAX(2*Settings!$B$12,Settings!$B$4*$E17),"")))</f>
        <v/>
      </c>
      <c r="H17" s="27" t="str">
        <f aca="false">IF($B17="","",IF(LEFT($F17,6)="Listed","Quantity 0: shown on the station as a reminder, not weighed. Give it a weight to weigh it.",IF(LEFT($F17,7)="NEITHER","Cannot be weighed — split it, premix it, or raise the batch size",IF($G17&gt;Settings!$B$4*$E17+0.0001,"Held to the scale's resolution, not "&amp;TEXT(Settings!$B$4,"0%"),""))))</f>
        <v>Quantity 0: shown on the station as a reminder, not weighed. Give it a weight to weigh it.</v>
      </c>
    </row>
    <row r="18" customFormat="false" ht="15" hidden="false" customHeight="false" outlineLevel="0" collapsed="false">
      <c r="A18" s="21" t="str">
        <f aca="false">IF($B18="","",10)</f>
        <v/>
      </c>
      <c r="B18" s="22"/>
      <c r="C18" s="23"/>
      <c r="D18" s="24" t="str">
        <f aca="false">IF($B18="","",$C18/1000)</f>
        <v/>
      </c>
      <c r="E18" s="25" t="str">
        <f aca="false">IF($B18="","",$D18*$C$4)</f>
        <v/>
      </c>
      <c r="F18" s="26" t="str">
        <f aca="false">IF($B18="","",IF($C18=0,"Listed — not weighed",IF($E18&lt;0,"NEITHER — negative weight",IF($E18&gt;=Settings!$B$19,Settings!$B$6,IF($E18&gt;Settings!$B$14,"NEITHER — over bench capacity",IF($E18&gt;=2*Settings!$B$12,Settings!$B$11,"NEITHER — under bench resolution"))))))</f>
        <v/>
      </c>
      <c r="G18" s="25" t="str">
        <f aca="false">IF($B18="","",IF($F18=Settings!$B$6,MAX(2*Settings!$B$7,Settings!$B$4*$E18),IF($F18=Settings!$B$11,MAX(2*Settings!$B$12,Settings!$B$4*$E18),"")))</f>
        <v/>
      </c>
      <c r="H18" s="27" t="str">
        <f aca="false">IF($B18="","",IF(LEFT($F18,6)="Listed","Quantity 0: shown on the station as a reminder, not weighed. Give it a weight to weigh it.",IF(LEFT($F18,7)="NEITHER","Cannot be weighed — split it, premix it, or raise the batch size",IF($G18&gt;Settings!$B$4*$E18+0.0001,"Held to the scale's resolution, not "&amp;TEXT(Settings!$B$4,"0%"),""))))</f>
        <v/>
      </c>
    </row>
    <row r="19" customFormat="false" ht="15" hidden="false" customHeight="false" outlineLevel="0" collapsed="false">
      <c r="A19" s="21" t="str">
        <f aca="false">IF($B19="","",11)</f>
        <v/>
      </c>
      <c r="B19" s="22"/>
      <c r="C19" s="23"/>
      <c r="D19" s="24" t="str">
        <f aca="false">IF($B19="","",$C19/1000)</f>
        <v/>
      </c>
      <c r="E19" s="25" t="str">
        <f aca="false">IF($B19="","",$D19*$C$4)</f>
        <v/>
      </c>
      <c r="F19" s="26" t="str">
        <f aca="false">IF($B19="","",IF($C19=0,"Listed — not weighed",IF($E19&lt;0,"NEITHER — negative weight",IF($E19&gt;=Settings!$B$19,Settings!$B$6,IF($E19&gt;Settings!$B$14,"NEITHER — over bench capacity",IF($E19&gt;=2*Settings!$B$12,Settings!$B$11,"NEITHER — under bench resolution"))))))</f>
        <v/>
      </c>
      <c r="G19" s="25" t="str">
        <f aca="false">IF($B19="","",IF($F19=Settings!$B$6,MAX(2*Settings!$B$7,Settings!$B$4*$E19),IF($F19=Settings!$B$11,MAX(2*Settings!$B$12,Settings!$B$4*$E19),"")))</f>
        <v/>
      </c>
      <c r="H19" s="27" t="str">
        <f aca="false">IF($B19="","",IF(LEFT($F19,6)="Listed","Quantity 0: shown on the station as a reminder, not weighed. Give it a weight to weigh it.",IF(LEFT($F19,7)="NEITHER","Cannot be weighed — split it, premix it, or raise the batch size",IF($G19&gt;Settings!$B$4*$E19+0.0001,"Held to the scale's resolution, not "&amp;TEXT(Settings!$B$4,"0%"),""))))</f>
        <v/>
      </c>
    </row>
    <row r="20" customFormat="false" ht="15" hidden="false" customHeight="false" outlineLevel="0" collapsed="false">
      <c r="A20" s="21" t="str">
        <f aca="false">IF($B20="","",12)</f>
        <v/>
      </c>
      <c r="B20" s="22"/>
      <c r="C20" s="23"/>
      <c r="D20" s="24" t="str">
        <f aca="false">IF($B20="","",$C20/1000)</f>
        <v/>
      </c>
      <c r="E20" s="25" t="str">
        <f aca="false">IF($B20="","",$D20*$C$4)</f>
        <v/>
      </c>
      <c r="F20" s="26" t="str">
        <f aca="false">IF($B20="","",IF($C20=0,"Listed — not weighed",IF($E20&lt;0,"NEITHER — negative weight",IF($E20&gt;=Settings!$B$19,Settings!$B$6,IF($E20&gt;Settings!$B$14,"NEITHER — over bench capacity",IF($E20&gt;=2*Settings!$B$12,Settings!$B$11,"NEITHER — under bench resolution"))))))</f>
        <v/>
      </c>
      <c r="G20" s="25" t="str">
        <f aca="false">IF($B20="","",IF($F20=Settings!$B$6,MAX(2*Settings!$B$7,Settings!$B$4*$E20),IF($F20=Settings!$B$11,MAX(2*Settings!$B$12,Settings!$B$4*$E20),"")))</f>
        <v/>
      </c>
      <c r="H20" s="27" t="str">
        <f aca="false">IF($B20="","",IF(LEFT($F20,6)="Listed","Quantity 0: shown on the station as a reminder, not weighed. Give it a weight to weigh it.",IF(LEFT($F20,7)="NEITHER","Cannot be weighed — split it, premix it, or raise the batch size",IF($G20&gt;Settings!$B$4*$E20+0.0001,"Held to the scale's resolution, not "&amp;TEXT(Settings!$B$4,"0%"),""))))</f>
        <v/>
      </c>
    </row>
    <row r="21" customFormat="false" ht="15" hidden="false" customHeight="false" outlineLevel="0" collapsed="false">
      <c r="A21" s="21" t="str">
        <f aca="false">IF($B21="","",13)</f>
        <v/>
      </c>
      <c r="B21" s="22"/>
      <c r="C21" s="23"/>
      <c r="D21" s="24" t="str">
        <f aca="false">IF($B21="","",$C21/1000)</f>
        <v/>
      </c>
      <c r="E21" s="25" t="str">
        <f aca="false">IF($B21="","",$D21*$C$4)</f>
        <v/>
      </c>
      <c r="F21" s="26" t="str">
        <f aca="false">IF($B21="","",IF($C21=0,"Listed — not weighed",IF($E21&lt;0,"NEITHER — negative weight",IF($E21&gt;=Settings!$B$19,Settings!$B$6,IF($E21&gt;Settings!$B$14,"NEITHER — over bench capacity",IF($E21&gt;=2*Settings!$B$12,Settings!$B$11,"NEITHER — under bench resolution"))))))</f>
        <v/>
      </c>
      <c r="G21" s="25" t="str">
        <f aca="false">IF($B21="","",IF($F21=Settings!$B$6,MAX(2*Settings!$B$7,Settings!$B$4*$E21),IF($F21=Settings!$B$11,MAX(2*Settings!$B$12,Settings!$B$4*$E21),"")))</f>
        <v/>
      </c>
      <c r="H21" s="27" t="str">
        <f aca="false">IF($B21="","",IF(LEFT($F21,6)="Listed","Quantity 0: shown on the station as a reminder, not weighed. Give it a weight to weigh it.",IF(LEFT($F21,7)="NEITHER","Cannot be weighed — split it, premix it, or raise the batch size",IF($G21&gt;Settings!$B$4*$E21+0.0001,"Held to the scale's resolution, not "&amp;TEXT(Settings!$B$4,"0%"),""))))</f>
        <v/>
      </c>
    </row>
    <row r="22" customFormat="false" ht="15" hidden="false" customHeight="false" outlineLevel="0" collapsed="false">
      <c r="A22" s="21" t="str">
        <f aca="false">IF($B22="","",14)</f>
        <v/>
      </c>
      <c r="B22" s="22"/>
      <c r="C22" s="23"/>
      <c r="D22" s="24" t="str">
        <f aca="false">IF($B22="","",$C22/1000)</f>
        <v/>
      </c>
      <c r="E22" s="25" t="str">
        <f aca="false">IF($B22="","",$D22*$C$4)</f>
        <v/>
      </c>
      <c r="F22" s="26" t="str">
        <f aca="false">IF($B22="","",IF($C22=0,"Listed — not weighed",IF($E22&lt;0,"NEITHER — negative weight",IF($E22&gt;=Settings!$B$19,Settings!$B$6,IF($E22&gt;Settings!$B$14,"NEITHER — over bench capacity",IF($E22&gt;=2*Settings!$B$12,Settings!$B$11,"NEITHER — under bench resolution"))))))</f>
        <v/>
      </c>
      <c r="G22" s="25" t="str">
        <f aca="false">IF($B22="","",IF($F22=Settings!$B$6,MAX(2*Settings!$B$7,Settings!$B$4*$E22),IF($F22=Settings!$B$11,MAX(2*Settings!$B$12,Settings!$B$4*$E22),"")))</f>
        <v/>
      </c>
      <c r="H22" s="27" t="str">
        <f aca="false">IF($B22="","",IF(LEFT($F22,6)="Listed","Quantity 0: shown on the station as a reminder, not weighed. Give it a weight to weigh it.",IF(LEFT($F22,7)="NEITHER","Cannot be weighed — split it, premix it, or raise the batch size",IF($G22&gt;Settings!$B$4*$E22+0.0001,"Held to the scale's resolution, not "&amp;TEXT(Settings!$B$4,"0%"),""))))</f>
        <v/>
      </c>
    </row>
    <row r="23" customFormat="false" ht="15" hidden="false" customHeight="false" outlineLevel="0" collapsed="false">
      <c r="A23" s="21" t="str">
        <f aca="false">IF($B23="","",15)</f>
        <v/>
      </c>
      <c r="B23" s="22"/>
      <c r="C23" s="23"/>
      <c r="D23" s="24" t="str">
        <f aca="false">IF($B23="","",$C23/1000)</f>
        <v/>
      </c>
      <c r="E23" s="25" t="str">
        <f aca="false">IF($B23="","",$D23*$C$4)</f>
        <v/>
      </c>
      <c r="F23" s="26" t="str">
        <f aca="false">IF($B23="","",IF($C23=0,"Listed — not weighed",IF($E23&lt;0,"NEITHER — negative weight",IF($E23&gt;=Settings!$B$19,Settings!$B$6,IF($E23&gt;Settings!$B$14,"NEITHER — over bench capacity",IF($E23&gt;=2*Settings!$B$12,Settings!$B$11,"NEITHER — under bench resolution"))))))</f>
        <v/>
      </c>
      <c r="G23" s="25" t="str">
        <f aca="false">IF($B23="","",IF($F23=Settings!$B$6,MAX(2*Settings!$B$7,Settings!$B$4*$E23),IF($F23=Settings!$B$11,MAX(2*Settings!$B$12,Settings!$B$4*$E23),"")))</f>
        <v/>
      </c>
      <c r="H23" s="27" t="str">
        <f aca="false">IF($B23="","",IF(LEFT($F23,6)="Listed","Quantity 0: shown on the station as a reminder, not weighed. Give it a weight to weigh it.",IF(LEFT($F23,7)="NEITHER","Cannot be weighed — split it, premix it, or raise the batch size",IF($G23&gt;Settings!$B$4*$E23+0.0001,"Held to the scale's resolution, not "&amp;TEXT(Settings!$B$4,"0%"),""))))</f>
        <v/>
      </c>
    </row>
    <row r="24" customFormat="false" ht="15" hidden="false" customHeight="false" outlineLevel="0" collapsed="false">
      <c r="A24" s="21" t="str">
        <f aca="false">IF($B24="","",16)</f>
        <v/>
      </c>
      <c r="B24" s="22"/>
      <c r="C24" s="23"/>
      <c r="D24" s="24" t="str">
        <f aca="false">IF($B24="","",$C24/1000)</f>
        <v/>
      </c>
      <c r="E24" s="25" t="str">
        <f aca="false">IF($B24="","",$D24*$C$4)</f>
        <v/>
      </c>
      <c r="F24" s="26" t="str">
        <f aca="false">IF($B24="","",IF($C24=0,"Listed — not weighed",IF($E24&lt;0,"NEITHER — negative weight",IF($E24&gt;=Settings!$B$19,Settings!$B$6,IF($E24&gt;Settings!$B$14,"NEITHER — over bench capacity",IF($E24&gt;=2*Settings!$B$12,Settings!$B$11,"NEITHER — under bench resolution"))))))</f>
        <v/>
      </c>
      <c r="G24" s="25" t="str">
        <f aca="false">IF($B24="","",IF($F24=Settings!$B$6,MAX(2*Settings!$B$7,Settings!$B$4*$E24),IF($F24=Settings!$B$11,MAX(2*Settings!$B$12,Settings!$B$4*$E24),"")))</f>
        <v/>
      </c>
      <c r="H24" s="27" t="str">
        <f aca="false">IF($B24="","",IF(LEFT($F24,6)="Listed","Quantity 0: shown on the station as a reminder, not weighed. Give it a weight to weigh it.",IF(LEFT($F24,7)="NEITHER","Cannot be weighed — split it, premix it, or raise the batch size",IF($G24&gt;Settings!$B$4*$E24+0.0001,"Held to the scale's resolution, not "&amp;TEXT(Settings!$B$4,"0%"),""))))</f>
        <v/>
      </c>
    </row>
    <row r="25" customFormat="false" ht="15" hidden="false" customHeight="false" outlineLevel="0" collapsed="false">
      <c r="A25" s="21" t="str">
        <f aca="false">IF($B25="","",17)</f>
        <v/>
      </c>
      <c r="B25" s="22"/>
      <c r="C25" s="23"/>
      <c r="D25" s="24" t="str">
        <f aca="false">IF($B25="","",$C25/1000)</f>
        <v/>
      </c>
      <c r="E25" s="25" t="str">
        <f aca="false">IF($B25="","",$D25*$C$4)</f>
        <v/>
      </c>
      <c r="F25" s="26" t="str">
        <f aca="false">IF($B25="","",IF($C25=0,"Listed — not weighed",IF($E25&lt;0,"NEITHER — negative weight",IF($E25&gt;=Settings!$B$19,Settings!$B$6,IF($E25&gt;Settings!$B$14,"NEITHER — over bench capacity",IF($E25&gt;=2*Settings!$B$12,Settings!$B$11,"NEITHER — under bench resolution"))))))</f>
        <v/>
      </c>
      <c r="G25" s="25" t="str">
        <f aca="false">IF($B25="","",IF($F25=Settings!$B$6,MAX(2*Settings!$B$7,Settings!$B$4*$E25),IF($F25=Settings!$B$11,MAX(2*Settings!$B$12,Settings!$B$4*$E25),"")))</f>
        <v/>
      </c>
      <c r="H25" s="27" t="str">
        <f aca="false">IF($B25="","",IF(LEFT($F25,6)="Listed","Quantity 0: shown on the station as a reminder, not weighed. Give it a weight to weigh it.",IF(LEFT($F25,7)="NEITHER","Cannot be weighed — split it, premix it, or raise the batch size",IF($G25&gt;Settings!$B$4*$E25+0.0001,"Held to the scale's resolution, not "&amp;TEXT(Settings!$B$4,"0%"),""))))</f>
        <v/>
      </c>
    </row>
    <row r="26" customFormat="false" ht="15" hidden="false" customHeight="false" outlineLevel="0" collapsed="false">
      <c r="A26" s="21" t="str">
        <f aca="false">IF($B26="","",18)</f>
        <v/>
      </c>
      <c r="B26" s="22"/>
      <c r="C26" s="23"/>
      <c r="D26" s="24" t="str">
        <f aca="false">IF($B26="","",$C26/1000)</f>
        <v/>
      </c>
      <c r="E26" s="25" t="str">
        <f aca="false">IF($B26="","",$D26*$C$4)</f>
        <v/>
      </c>
      <c r="F26" s="26" t="str">
        <f aca="false">IF($B26="","",IF($C26=0,"Listed — not weighed",IF($E26&lt;0,"NEITHER — negative weight",IF($E26&gt;=Settings!$B$19,Settings!$B$6,IF($E26&gt;Settings!$B$14,"NEITHER — over bench capacity",IF($E26&gt;=2*Settings!$B$12,Settings!$B$11,"NEITHER — under bench resolution"))))))</f>
        <v/>
      </c>
      <c r="G26" s="25" t="str">
        <f aca="false">IF($B26="","",IF($F26=Settings!$B$6,MAX(2*Settings!$B$7,Settings!$B$4*$E26),IF($F26=Settings!$B$11,MAX(2*Settings!$B$12,Settings!$B$4*$E26),"")))</f>
        <v/>
      </c>
      <c r="H26" s="27" t="str">
        <f aca="false">IF($B26="","",IF(LEFT($F26,6)="Listed","Quantity 0: shown on the station as a reminder, not weighed. Give it a weight to weigh it.",IF(LEFT($F26,7)="NEITHER","Cannot be weighed — split it, premix it, or raise the batch size",IF($G26&gt;Settings!$B$4*$E26+0.0001,"Held to the scale's resolution, not "&amp;TEXT(Settings!$B$4,"0%"),""))))</f>
        <v/>
      </c>
    </row>
    <row r="27" customFormat="false" ht="15" hidden="false" customHeight="false" outlineLevel="0" collapsed="false">
      <c r="A27" s="21" t="str">
        <f aca="false">IF($B27="","",19)</f>
        <v/>
      </c>
      <c r="B27" s="22"/>
      <c r="C27" s="23"/>
      <c r="D27" s="24" t="str">
        <f aca="false">IF($B27="","",$C27/1000)</f>
        <v/>
      </c>
      <c r="E27" s="25" t="str">
        <f aca="false">IF($B27="","",$D27*$C$4)</f>
        <v/>
      </c>
      <c r="F27" s="26" t="str">
        <f aca="false">IF($B27="","",IF($C27=0,"Listed — not weighed",IF($E27&lt;0,"NEITHER — negative weight",IF($E27&gt;=Settings!$B$19,Settings!$B$6,IF($E27&gt;Settings!$B$14,"NEITHER — over bench capacity",IF($E27&gt;=2*Settings!$B$12,Settings!$B$11,"NEITHER — under bench resolution"))))))</f>
        <v/>
      </c>
      <c r="G27" s="25" t="str">
        <f aca="false">IF($B27="","",IF($F27=Settings!$B$6,MAX(2*Settings!$B$7,Settings!$B$4*$E27),IF($F27=Settings!$B$11,MAX(2*Settings!$B$12,Settings!$B$4*$E27),"")))</f>
        <v/>
      </c>
      <c r="H27" s="27" t="str">
        <f aca="false">IF($B27="","",IF(LEFT($F27,6)="Listed","Quantity 0: shown on the station as a reminder, not weighed. Give it a weight to weigh it.",IF(LEFT($F27,7)="NEITHER","Cannot be weighed — split it, premix it, or raise the batch size",IF($G27&gt;Settings!$B$4*$E27+0.0001,"Held to the scale's resolution, not "&amp;TEXT(Settings!$B$4,"0%"),""))))</f>
        <v/>
      </c>
    </row>
    <row r="28" customFormat="false" ht="15" hidden="false" customHeight="false" outlineLevel="0" collapsed="false">
      <c r="A28" s="21" t="str">
        <f aca="false">IF($B28="","",20)</f>
        <v/>
      </c>
      <c r="B28" s="22"/>
      <c r="C28" s="23"/>
      <c r="D28" s="24" t="str">
        <f aca="false">IF($B28="","",$C28/1000)</f>
        <v/>
      </c>
      <c r="E28" s="25" t="str">
        <f aca="false">IF($B28="","",$D28*$C$4)</f>
        <v/>
      </c>
      <c r="F28" s="26" t="str">
        <f aca="false">IF($B28="","",IF($C28=0,"Listed — not weighed",IF($E28&lt;0,"NEITHER — negative weight",IF($E28&gt;=Settings!$B$19,Settings!$B$6,IF($E28&gt;Settings!$B$14,"NEITHER — over bench capacity",IF($E28&gt;=2*Settings!$B$12,Settings!$B$11,"NEITHER — under bench resolution"))))))</f>
        <v/>
      </c>
      <c r="G28" s="25" t="str">
        <f aca="false">IF($B28="","",IF($F28=Settings!$B$6,MAX(2*Settings!$B$7,Settings!$B$4*$E28),IF($F28=Settings!$B$11,MAX(2*Settings!$B$12,Settings!$B$4*$E28),"")))</f>
        <v/>
      </c>
      <c r="H28" s="27" t="str">
        <f aca="false">IF($B28="","",IF(LEFT($F28,6)="Listed","Quantity 0: shown on the station as a reminder, not weighed. Give it a weight to weigh it.",IF(LEFT($F28,7)="NEITHER","Cannot be weighed — split it, premix it, or raise the batch size",IF($G28&gt;Settings!$B$4*$E28+0.0001,"Held to the scale's resolution, not "&amp;TEXT(Settings!$B$4,"0%"),""))))</f>
        <v/>
      </c>
    </row>
    <row r="29" customFormat="false" ht="15" hidden="false" customHeight="false" outlineLevel="0" collapsed="false">
      <c r="A29" s="21" t="str">
        <f aca="false">IF($B29="","",21)</f>
        <v/>
      </c>
      <c r="B29" s="22"/>
      <c r="C29" s="23"/>
      <c r="D29" s="24" t="str">
        <f aca="false">IF($B29="","",$C29/1000)</f>
        <v/>
      </c>
      <c r="E29" s="25" t="str">
        <f aca="false">IF($B29="","",$D29*$C$4)</f>
        <v/>
      </c>
      <c r="F29" s="26" t="str">
        <f aca="false">IF($B29="","",IF($C29=0,"Listed — not weighed",IF($E29&lt;0,"NEITHER — negative weight",IF($E29&gt;=Settings!$B$19,Settings!$B$6,IF($E29&gt;Settings!$B$14,"NEITHER — over bench capacity",IF($E29&gt;=2*Settings!$B$12,Settings!$B$11,"NEITHER — under bench resolution"))))))</f>
        <v/>
      </c>
      <c r="G29" s="25" t="str">
        <f aca="false">IF($B29="","",IF($F29=Settings!$B$6,MAX(2*Settings!$B$7,Settings!$B$4*$E29),IF($F29=Settings!$B$11,MAX(2*Settings!$B$12,Settings!$B$4*$E29),"")))</f>
        <v/>
      </c>
      <c r="H29" s="27" t="str">
        <f aca="false">IF($B29="","",IF(LEFT($F29,6)="Listed","Quantity 0: shown on the station as a reminder, not weighed. Give it a weight to weigh it.",IF(LEFT($F29,7)="NEITHER","Cannot be weighed — split it, premix it, or raise the batch size",IF($G29&gt;Settings!$B$4*$E29+0.0001,"Held to the scale's resolution, not "&amp;TEXT(Settings!$B$4,"0%"),""))))</f>
        <v/>
      </c>
    </row>
    <row r="30" customFormat="false" ht="15" hidden="false" customHeight="false" outlineLevel="0" collapsed="false">
      <c r="A30" s="21" t="str">
        <f aca="false">IF($B30="","",22)</f>
        <v/>
      </c>
      <c r="B30" s="22"/>
      <c r="C30" s="23"/>
      <c r="D30" s="24" t="str">
        <f aca="false">IF($B30="","",$C30/1000)</f>
        <v/>
      </c>
      <c r="E30" s="25" t="str">
        <f aca="false">IF($B30="","",$D30*$C$4)</f>
        <v/>
      </c>
      <c r="F30" s="26" t="str">
        <f aca="false">IF($B30="","",IF($C30=0,"Listed — not weighed",IF($E30&lt;0,"NEITHER — negative weight",IF($E30&gt;=Settings!$B$19,Settings!$B$6,IF($E30&gt;Settings!$B$14,"NEITHER — over bench capacity",IF($E30&gt;=2*Settings!$B$12,Settings!$B$11,"NEITHER — under bench resolution"))))))</f>
        <v/>
      </c>
      <c r="G30" s="25" t="str">
        <f aca="false">IF($B30="","",IF($F30=Settings!$B$6,MAX(2*Settings!$B$7,Settings!$B$4*$E30),IF($F30=Settings!$B$11,MAX(2*Settings!$B$12,Settings!$B$4*$E30),"")))</f>
        <v/>
      </c>
      <c r="H30" s="27" t="str">
        <f aca="false">IF($B30="","",IF(LEFT($F30,6)="Listed","Quantity 0: shown on the station as a reminder, not weighed. Give it a weight to weigh it.",IF(LEFT($F30,7)="NEITHER","Cannot be weighed — split it, premix it, or raise the batch size",IF($G30&gt;Settings!$B$4*$E30+0.0001,"Held to the scale's resolution, not "&amp;TEXT(Settings!$B$4,"0%"),""))))</f>
        <v/>
      </c>
    </row>
    <row r="31" customFormat="false" ht="15" hidden="false" customHeight="false" outlineLevel="0" collapsed="false">
      <c r="A31" s="21" t="str">
        <f aca="false">IF($B31="","",23)</f>
        <v/>
      </c>
      <c r="B31" s="22"/>
      <c r="C31" s="23"/>
      <c r="D31" s="24" t="str">
        <f aca="false">IF($B31="","",$C31/1000)</f>
        <v/>
      </c>
      <c r="E31" s="25" t="str">
        <f aca="false">IF($B31="","",$D31*$C$4)</f>
        <v/>
      </c>
      <c r="F31" s="26" t="str">
        <f aca="false">IF($B31="","",IF($C31=0,"Listed — not weighed",IF($E31&lt;0,"NEITHER — negative weight",IF($E31&gt;=Settings!$B$19,Settings!$B$6,IF($E31&gt;Settings!$B$14,"NEITHER — over bench capacity",IF($E31&gt;=2*Settings!$B$12,Settings!$B$11,"NEITHER — under bench resolution"))))))</f>
        <v/>
      </c>
      <c r="G31" s="25" t="str">
        <f aca="false">IF($B31="","",IF($F31=Settings!$B$6,MAX(2*Settings!$B$7,Settings!$B$4*$E31),IF($F31=Settings!$B$11,MAX(2*Settings!$B$12,Settings!$B$4*$E31),"")))</f>
        <v/>
      </c>
      <c r="H31" s="27" t="str">
        <f aca="false">IF($B31="","",IF(LEFT($F31,6)="Listed","Quantity 0: shown on the station as a reminder, not weighed. Give it a weight to weigh it.",IF(LEFT($F31,7)="NEITHER","Cannot be weighed — split it, premix it, or raise the batch size",IF($G31&gt;Settings!$B$4*$E31+0.0001,"Held to the scale's resolution, not "&amp;TEXT(Settings!$B$4,"0%"),""))))</f>
        <v/>
      </c>
    </row>
    <row r="32" customFormat="false" ht="15" hidden="false" customHeight="false" outlineLevel="0" collapsed="false">
      <c r="A32" s="21" t="str">
        <f aca="false">IF($B32="","",24)</f>
        <v/>
      </c>
      <c r="B32" s="22"/>
      <c r="C32" s="23"/>
      <c r="D32" s="24" t="str">
        <f aca="false">IF($B32="","",$C32/1000)</f>
        <v/>
      </c>
      <c r="E32" s="25" t="str">
        <f aca="false">IF($B32="","",$D32*$C$4)</f>
        <v/>
      </c>
      <c r="F32" s="26" t="str">
        <f aca="false">IF($B32="","",IF($C32=0,"Listed — not weighed",IF($E32&lt;0,"NEITHER — negative weight",IF($E32&gt;=Settings!$B$19,Settings!$B$6,IF($E32&gt;Settings!$B$14,"NEITHER — over bench capacity",IF($E32&gt;=2*Settings!$B$12,Settings!$B$11,"NEITHER — under bench resolution"))))))</f>
        <v/>
      </c>
      <c r="G32" s="25" t="str">
        <f aca="false">IF($B32="","",IF($F32=Settings!$B$6,MAX(2*Settings!$B$7,Settings!$B$4*$E32),IF($F32=Settings!$B$11,MAX(2*Settings!$B$12,Settings!$B$4*$E32),"")))</f>
        <v/>
      </c>
      <c r="H32" s="27" t="str">
        <f aca="false">IF($B32="","",IF(LEFT($F32,6)="Listed","Quantity 0: shown on the station as a reminder, not weighed. Give it a weight to weigh it.",IF(LEFT($F32,7)="NEITHER","Cannot be weighed — split it, premix it, or raise the batch size",IF($G32&gt;Settings!$B$4*$E32+0.0001,"Held to the scale's resolution, not "&amp;TEXT(Settings!$B$4,"0%"),""))))</f>
        <v/>
      </c>
    </row>
    <row r="33" customFormat="false" ht="15" hidden="false" customHeight="false" outlineLevel="0" collapsed="false">
      <c r="A33" s="21" t="str">
        <f aca="false">IF($B33="","",25)</f>
        <v/>
      </c>
      <c r="B33" s="22"/>
      <c r="C33" s="23"/>
      <c r="D33" s="24" t="str">
        <f aca="false">IF($B33="","",$C33/1000)</f>
        <v/>
      </c>
      <c r="E33" s="25" t="str">
        <f aca="false">IF($B33="","",$D33*$C$4)</f>
        <v/>
      </c>
      <c r="F33" s="26" t="str">
        <f aca="false">IF($B33="","",IF($C33=0,"Listed — not weighed",IF($E33&lt;0,"NEITHER — negative weight",IF($E33&gt;=Settings!$B$19,Settings!$B$6,IF($E33&gt;Settings!$B$14,"NEITHER — over bench capacity",IF($E33&gt;=2*Settings!$B$12,Settings!$B$11,"NEITHER — under bench resolution"))))))</f>
        <v/>
      </c>
      <c r="G33" s="25" t="str">
        <f aca="false">IF($B33="","",IF($F33=Settings!$B$6,MAX(2*Settings!$B$7,Settings!$B$4*$E33),IF($F33=Settings!$B$11,MAX(2*Settings!$B$12,Settings!$B$4*$E33),"")))</f>
        <v/>
      </c>
      <c r="H33" s="27" t="str">
        <f aca="false">IF($B33="","",IF(LEFT($F33,6)="Listed","Quantity 0: shown on the station as a reminder, not weighed. Give it a weight to weigh it.",IF(LEFT($F33,7)="NEITHER","Cannot be weighed — split it, premix it, or raise the batch size",IF($G33&gt;Settings!$B$4*$E33+0.0001,"Held to the scale's resolution, not "&amp;TEXT(Settings!$B$4,"0%"),""))))</f>
        <v/>
      </c>
    </row>
    <row r="34" customFormat="false" ht="15" hidden="false" customHeight="false" outlineLevel="0" collapsed="false">
      <c r="A34" s="21" t="str">
        <f aca="false">IF($B34="","",26)</f>
        <v/>
      </c>
      <c r="B34" s="22"/>
      <c r="C34" s="23"/>
      <c r="D34" s="24" t="str">
        <f aca="false">IF($B34="","",$C34/1000)</f>
        <v/>
      </c>
      <c r="E34" s="25" t="str">
        <f aca="false">IF($B34="","",$D34*$C$4)</f>
        <v/>
      </c>
      <c r="F34" s="26" t="str">
        <f aca="false">IF($B34="","",IF($C34=0,"Listed — not weighed",IF($E34&lt;0,"NEITHER — negative weight",IF($E34&gt;=Settings!$B$19,Settings!$B$6,IF($E34&gt;Settings!$B$14,"NEITHER — over bench capacity",IF($E34&gt;=2*Settings!$B$12,Settings!$B$11,"NEITHER — under bench resolution"))))))</f>
        <v/>
      </c>
      <c r="G34" s="25" t="str">
        <f aca="false">IF($B34="","",IF($F34=Settings!$B$6,MAX(2*Settings!$B$7,Settings!$B$4*$E34),IF($F34=Settings!$B$11,MAX(2*Settings!$B$12,Settings!$B$4*$E34),"")))</f>
        <v/>
      </c>
      <c r="H34" s="27" t="str">
        <f aca="false">IF($B34="","",IF(LEFT($F34,6)="Listed","Quantity 0: shown on the station as a reminder, not weighed. Give it a weight to weigh it.",IF(LEFT($F34,7)="NEITHER","Cannot be weighed — split it, premix it, or raise the batch size",IF($G34&gt;Settings!$B$4*$E34+0.0001,"Held to the scale's resolution, not "&amp;TEXT(Settings!$B$4,"0%"),""))))</f>
        <v/>
      </c>
    </row>
    <row r="35" customFormat="false" ht="15" hidden="false" customHeight="false" outlineLevel="0" collapsed="false">
      <c r="A35" s="21" t="str">
        <f aca="false">IF($B35="","",27)</f>
        <v/>
      </c>
      <c r="B35" s="22"/>
      <c r="C35" s="23"/>
      <c r="D35" s="24" t="str">
        <f aca="false">IF($B35="","",$C35/1000)</f>
        <v/>
      </c>
      <c r="E35" s="25" t="str">
        <f aca="false">IF($B35="","",$D35*$C$4)</f>
        <v/>
      </c>
      <c r="F35" s="26" t="str">
        <f aca="false">IF($B35="","",IF($C35=0,"Listed — not weighed",IF($E35&lt;0,"NEITHER — negative weight",IF($E35&gt;=Settings!$B$19,Settings!$B$6,IF($E35&gt;Settings!$B$14,"NEITHER — over bench capacity",IF($E35&gt;=2*Settings!$B$12,Settings!$B$11,"NEITHER — under bench resolution"))))))</f>
        <v/>
      </c>
      <c r="G35" s="25" t="str">
        <f aca="false">IF($B35="","",IF($F35=Settings!$B$6,MAX(2*Settings!$B$7,Settings!$B$4*$E35),IF($F35=Settings!$B$11,MAX(2*Settings!$B$12,Settings!$B$4*$E35),"")))</f>
        <v/>
      </c>
      <c r="H35" s="27" t="str">
        <f aca="false">IF($B35="","",IF(LEFT($F35,6)="Listed","Quantity 0: shown on the station as a reminder, not weighed. Give it a weight to weigh it.",IF(LEFT($F35,7)="NEITHER","Cannot be weighed — split it, premix it, or raise the batch size",IF($G35&gt;Settings!$B$4*$E35+0.0001,"Held to the scale's resolution, not "&amp;TEXT(Settings!$B$4,"0%"),""))))</f>
        <v/>
      </c>
    </row>
    <row r="36" customFormat="false" ht="15" hidden="false" customHeight="false" outlineLevel="0" collapsed="false">
      <c r="A36" s="21" t="str">
        <f aca="false">IF($B36="","",28)</f>
        <v/>
      </c>
      <c r="B36" s="22"/>
      <c r="C36" s="23"/>
      <c r="D36" s="24" t="str">
        <f aca="false">IF($B36="","",$C36/1000)</f>
        <v/>
      </c>
      <c r="E36" s="25" t="str">
        <f aca="false">IF($B36="","",$D36*$C$4)</f>
        <v/>
      </c>
      <c r="F36" s="26" t="str">
        <f aca="false">IF($B36="","",IF($C36=0,"Listed — not weighed",IF($E36&lt;0,"NEITHER — negative weight",IF($E36&gt;=Settings!$B$19,Settings!$B$6,IF($E36&gt;Settings!$B$14,"NEITHER — over bench capacity",IF($E36&gt;=2*Settings!$B$12,Settings!$B$11,"NEITHER — under bench resolution"))))))</f>
        <v/>
      </c>
      <c r="G36" s="25" t="str">
        <f aca="false">IF($B36="","",IF($F36=Settings!$B$6,MAX(2*Settings!$B$7,Settings!$B$4*$E36),IF($F36=Settings!$B$11,MAX(2*Settings!$B$12,Settings!$B$4*$E36),"")))</f>
        <v/>
      </c>
      <c r="H36" s="27" t="str">
        <f aca="false">IF($B36="","",IF(LEFT($F36,6)="Listed","Quantity 0: shown on the station as a reminder, not weighed. Give it a weight to weigh it.",IF(LEFT($F36,7)="NEITHER","Cannot be weighed — split it, premix it, or raise the batch size",IF($G36&gt;Settings!$B$4*$E36+0.0001,"Held to the scale's resolution, not "&amp;TEXT(Settings!$B$4,"0%"),""))))</f>
        <v/>
      </c>
    </row>
    <row r="37" customFormat="false" ht="15" hidden="false" customHeight="false" outlineLevel="0" collapsed="false">
      <c r="A37" s="21" t="str">
        <f aca="false">IF($B37="","",29)</f>
        <v/>
      </c>
      <c r="B37" s="22"/>
      <c r="C37" s="23"/>
      <c r="D37" s="24" t="str">
        <f aca="false">IF($B37="","",$C37/1000)</f>
        <v/>
      </c>
      <c r="E37" s="25" t="str">
        <f aca="false">IF($B37="","",$D37*$C$4)</f>
        <v/>
      </c>
      <c r="F37" s="26" t="str">
        <f aca="false">IF($B37="","",IF($C37=0,"Listed — not weighed",IF($E37&lt;0,"NEITHER — negative weight",IF($E37&gt;=Settings!$B$19,Settings!$B$6,IF($E37&gt;Settings!$B$14,"NEITHER — over bench capacity",IF($E37&gt;=2*Settings!$B$12,Settings!$B$11,"NEITHER — under bench resolution"))))))</f>
        <v/>
      </c>
      <c r="G37" s="25" t="str">
        <f aca="false">IF($B37="","",IF($F37=Settings!$B$6,MAX(2*Settings!$B$7,Settings!$B$4*$E37),IF($F37=Settings!$B$11,MAX(2*Settings!$B$12,Settings!$B$4*$E37),"")))</f>
        <v/>
      </c>
      <c r="H37" s="27" t="str">
        <f aca="false">IF($B37="","",IF(LEFT($F37,6)="Listed","Quantity 0: shown on the station as a reminder, not weighed. Give it a weight to weigh it.",IF(LEFT($F37,7)="NEITHER","Cannot be weighed — split it, premix it, or raise the batch size",IF($G37&gt;Settings!$B$4*$E37+0.0001,"Held to the scale's resolution, not "&amp;TEXT(Settings!$B$4,"0%"),""))))</f>
        <v/>
      </c>
    </row>
    <row r="38" customFormat="false" ht="15" hidden="false" customHeight="false" outlineLevel="0" collapsed="false">
      <c r="A38" s="21" t="str">
        <f aca="false">IF($B38="","",30)</f>
        <v/>
      </c>
      <c r="B38" s="22"/>
      <c r="C38" s="23"/>
      <c r="D38" s="24" t="str">
        <f aca="false">IF($B38="","",$C38/1000)</f>
        <v/>
      </c>
      <c r="E38" s="25" t="str">
        <f aca="false">IF($B38="","",$D38*$C$4)</f>
        <v/>
      </c>
      <c r="F38" s="26" t="str">
        <f aca="false">IF($B38="","",IF($C38=0,"Listed — not weighed",IF($E38&lt;0,"NEITHER — negative weight",IF($E38&gt;=Settings!$B$19,Settings!$B$6,IF($E38&gt;Settings!$B$14,"NEITHER — over bench capacity",IF($E38&gt;=2*Settings!$B$12,Settings!$B$11,"NEITHER — under bench resolution"))))))</f>
        <v/>
      </c>
      <c r="G38" s="25" t="str">
        <f aca="false">IF($B38="","",IF($F38=Settings!$B$6,MAX(2*Settings!$B$7,Settings!$B$4*$E38),IF($F38=Settings!$B$11,MAX(2*Settings!$B$12,Settings!$B$4*$E38),"")))</f>
        <v/>
      </c>
      <c r="H38" s="27" t="str">
        <f aca="false">IF($B38="","",IF(LEFT($F38,6)="Listed","Quantity 0: shown on the station as a reminder, not weighed. Give it a weight to weigh it.",IF(LEFT($F38,7)="NEITHER","Cannot be weighed — split it, premix it, or raise the batch size",IF($G38&gt;Settings!$B$4*$E38+0.0001,"Held to the scale's resolution, not "&amp;TEXT(Settings!$B$4,"0%"),""))))</f>
        <v/>
      </c>
    </row>
    <row r="39" customFormat="false" ht="15" hidden="false" customHeight="false" outlineLevel="0" collapsed="false">
      <c r="A39" s="21" t="str">
        <f aca="false">IF($B39="","",31)</f>
        <v/>
      </c>
      <c r="B39" s="22"/>
      <c r="C39" s="23"/>
      <c r="D39" s="24" t="str">
        <f aca="false">IF($B39="","",$C39/1000)</f>
        <v/>
      </c>
      <c r="E39" s="25" t="str">
        <f aca="false">IF($B39="","",$D39*$C$4)</f>
        <v/>
      </c>
      <c r="F39" s="26" t="str">
        <f aca="false">IF($B39="","",IF($C39=0,"Listed — not weighed",IF($E39&lt;0,"NEITHER — negative weight",IF($E39&gt;=Settings!$B$19,Settings!$B$6,IF($E39&gt;Settings!$B$14,"NEITHER — over bench capacity",IF($E39&gt;=2*Settings!$B$12,Settings!$B$11,"NEITHER — under bench resolution"))))))</f>
        <v/>
      </c>
      <c r="G39" s="25" t="str">
        <f aca="false">IF($B39="","",IF($F39=Settings!$B$6,MAX(2*Settings!$B$7,Settings!$B$4*$E39),IF($F39=Settings!$B$11,MAX(2*Settings!$B$12,Settings!$B$4*$E39),"")))</f>
        <v/>
      </c>
      <c r="H39" s="27" t="str">
        <f aca="false">IF($B39="","",IF(LEFT($F39,6)="Listed","Quantity 0: shown on the station as a reminder, not weighed. Give it a weight to weigh it.",IF(LEFT($F39,7)="NEITHER","Cannot be weighed — split it, premix it, or raise the batch size",IF($G39&gt;Settings!$B$4*$E39+0.0001,"Held to the scale's resolution, not "&amp;TEXT(Settings!$B$4,"0%"),""))))</f>
        <v/>
      </c>
    </row>
    <row r="40" customFormat="false" ht="15" hidden="false" customHeight="false" outlineLevel="0" collapsed="false">
      <c r="A40" s="21" t="str">
        <f aca="false">IF($B40="","",32)</f>
        <v/>
      </c>
      <c r="B40" s="22"/>
      <c r="C40" s="23"/>
      <c r="D40" s="24" t="str">
        <f aca="false">IF($B40="","",$C40/1000)</f>
        <v/>
      </c>
      <c r="E40" s="25" t="str">
        <f aca="false">IF($B40="","",$D40*$C$4)</f>
        <v/>
      </c>
      <c r="F40" s="26" t="str">
        <f aca="false">IF($B40="","",IF($C40=0,"Listed — not weighed",IF($E40&lt;0,"NEITHER — negative weight",IF($E40&gt;=Settings!$B$19,Settings!$B$6,IF($E40&gt;Settings!$B$14,"NEITHER — over bench capacity",IF($E40&gt;=2*Settings!$B$12,Settings!$B$11,"NEITHER — under bench resolution"))))))</f>
        <v/>
      </c>
      <c r="G40" s="25" t="str">
        <f aca="false">IF($B40="","",IF($F40=Settings!$B$6,MAX(2*Settings!$B$7,Settings!$B$4*$E40),IF($F40=Settings!$B$11,MAX(2*Settings!$B$12,Settings!$B$4*$E40),"")))</f>
        <v/>
      </c>
      <c r="H40" s="27" t="str">
        <f aca="false">IF($B40="","",IF(LEFT($F40,6)="Listed","Quantity 0: shown on the station as a reminder, not weighed. Give it a weight to weigh it.",IF(LEFT($F40,7)="NEITHER","Cannot be weighed — split it, premix it, or raise the batch size",IF($G40&gt;Settings!$B$4*$E40+0.0001,"Held to the scale's resolution, not "&amp;TEXT(Settings!$B$4,"0%"),""))))</f>
        <v/>
      </c>
    </row>
    <row r="41" customFormat="false" ht="15" hidden="false" customHeight="false" outlineLevel="0" collapsed="false">
      <c r="A41" s="21" t="str">
        <f aca="false">IF($B41="","",33)</f>
        <v/>
      </c>
      <c r="B41" s="22"/>
      <c r="C41" s="23"/>
      <c r="D41" s="24" t="str">
        <f aca="false">IF($B41="","",$C41/1000)</f>
        <v/>
      </c>
      <c r="E41" s="25" t="str">
        <f aca="false">IF($B41="","",$D41*$C$4)</f>
        <v/>
      </c>
      <c r="F41" s="26" t="str">
        <f aca="false">IF($B41="","",IF($C41=0,"Listed — not weighed",IF($E41&lt;0,"NEITHER — negative weight",IF($E41&gt;=Settings!$B$19,Settings!$B$6,IF($E41&gt;Settings!$B$14,"NEITHER — over bench capacity",IF($E41&gt;=2*Settings!$B$12,Settings!$B$11,"NEITHER — under bench resolution"))))))</f>
        <v/>
      </c>
      <c r="G41" s="25" t="str">
        <f aca="false">IF($B41="","",IF($F41=Settings!$B$6,MAX(2*Settings!$B$7,Settings!$B$4*$E41),IF($F41=Settings!$B$11,MAX(2*Settings!$B$12,Settings!$B$4*$E41),"")))</f>
        <v/>
      </c>
      <c r="H41" s="27" t="str">
        <f aca="false">IF($B41="","",IF(LEFT($F41,6)="Listed","Quantity 0: shown on the station as a reminder, not weighed. Give it a weight to weigh it.",IF(LEFT($F41,7)="NEITHER","Cannot be weighed — split it, premix it, or raise the batch size",IF($G41&gt;Settings!$B$4*$E41+0.0001,"Held to the scale's resolution, not "&amp;TEXT(Settings!$B$4,"0%"),""))))</f>
        <v/>
      </c>
    </row>
    <row r="42" customFormat="false" ht="15" hidden="false" customHeight="false" outlineLevel="0" collapsed="false">
      <c r="A42" s="21" t="str">
        <f aca="false">IF($B42="","",34)</f>
        <v/>
      </c>
      <c r="B42" s="22"/>
      <c r="C42" s="23"/>
      <c r="D42" s="24" t="str">
        <f aca="false">IF($B42="","",$C42/1000)</f>
        <v/>
      </c>
      <c r="E42" s="25" t="str">
        <f aca="false">IF($B42="","",$D42*$C$4)</f>
        <v/>
      </c>
      <c r="F42" s="26" t="str">
        <f aca="false">IF($B42="","",IF($C42=0,"Listed — not weighed",IF($E42&lt;0,"NEITHER — negative weight",IF($E42&gt;=Settings!$B$19,Settings!$B$6,IF($E42&gt;Settings!$B$14,"NEITHER — over bench capacity",IF($E42&gt;=2*Settings!$B$12,Settings!$B$11,"NEITHER — under bench resolution"))))))</f>
        <v/>
      </c>
      <c r="G42" s="25" t="str">
        <f aca="false">IF($B42="","",IF($F42=Settings!$B$6,MAX(2*Settings!$B$7,Settings!$B$4*$E42),IF($F42=Settings!$B$11,MAX(2*Settings!$B$12,Settings!$B$4*$E42),"")))</f>
        <v/>
      </c>
      <c r="H42" s="27" t="str">
        <f aca="false">IF($B42="","",IF(LEFT($F42,6)="Listed","Quantity 0: shown on the station as a reminder, not weighed. Give it a weight to weigh it.",IF(LEFT($F42,7)="NEITHER","Cannot be weighed — split it, premix it, or raise the batch size",IF($G42&gt;Settings!$B$4*$E42+0.0001,"Held to the scale's resolution, not "&amp;TEXT(Settings!$B$4,"0%"),""))))</f>
        <v/>
      </c>
    </row>
    <row r="43" customFormat="false" ht="15" hidden="false" customHeight="false" outlineLevel="0" collapsed="false">
      <c r="A43" s="21" t="str">
        <f aca="false">IF($B43="","",35)</f>
        <v/>
      </c>
      <c r="B43" s="22"/>
      <c r="C43" s="23"/>
      <c r="D43" s="24" t="str">
        <f aca="false">IF($B43="","",$C43/1000)</f>
        <v/>
      </c>
      <c r="E43" s="25" t="str">
        <f aca="false">IF($B43="","",$D43*$C$4)</f>
        <v/>
      </c>
      <c r="F43" s="26" t="str">
        <f aca="false">IF($B43="","",IF($C43=0,"Listed — not weighed",IF($E43&lt;0,"NEITHER — negative weight",IF($E43&gt;=Settings!$B$19,Settings!$B$6,IF($E43&gt;Settings!$B$14,"NEITHER — over bench capacity",IF($E43&gt;=2*Settings!$B$12,Settings!$B$11,"NEITHER — under bench resolution"))))))</f>
        <v/>
      </c>
      <c r="G43" s="25" t="str">
        <f aca="false">IF($B43="","",IF($F43=Settings!$B$6,MAX(2*Settings!$B$7,Settings!$B$4*$E43),IF($F43=Settings!$B$11,MAX(2*Settings!$B$12,Settings!$B$4*$E43),"")))</f>
        <v/>
      </c>
      <c r="H43" s="27" t="str">
        <f aca="false">IF($B43="","",IF(LEFT($F43,6)="Listed","Quantity 0: shown on the station as a reminder, not weighed. Give it a weight to weigh it.",IF(LEFT($F43,7)="NEITHER","Cannot be weighed — split it, premix it, or raise the batch size",IF($G43&gt;Settings!$B$4*$E43+0.0001,"Held to the scale's resolution, not "&amp;TEXT(Settings!$B$4,"0%"),""))))</f>
        <v/>
      </c>
    </row>
    <row r="44" customFormat="false" ht="15" hidden="false" customHeight="false" outlineLevel="0" collapsed="false">
      <c r="A44" s="21" t="str">
        <f aca="false">IF($B44="","",36)</f>
        <v/>
      </c>
      <c r="B44" s="22"/>
      <c r="C44" s="23"/>
      <c r="D44" s="24" t="str">
        <f aca="false">IF($B44="","",$C44/1000)</f>
        <v/>
      </c>
      <c r="E44" s="25" t="str">
        <f aca="false">IF($B44="","",$D44*$C$4)</f>
        <v/>
      </c>
      <c r="F44" s="26" t="str">
        <f aca="false">IF($B44="","",IF($C44=0,"Listed — not weighed",IF($E44&lt;0,"NEITHER — negative weight",IF($E44&gt;=Settings!$B$19,Settings!$B$6,IF($E44&gt;Settings!$B$14,"NEITHER — over bench capacity",IF($E44&gt;=2*Settings!$B$12,Settings!$B$11,"NEITHER — under bench resolution"))))))</f>
        <v/>
      </c>
      <c r="G44" s="25" t="str">
        <f aca="false">IF($B44="","",IF($F44=Settings!$B$6,MAX(2*Settings!$B$7,Settings!$B$4*$E44),IF($F44=Settings!$B$11,MAX(2*Settings!$B$12,Settings!$B$4*$E44),"")))</f>
        <v/>
      </c>
      <c r="H44" s="27" t="str">
        <f aca="false">IF($B44="","",IF(LEFT($F44,6)="Listed","Quantity 0: shown on the station as a reminder, not weighed. Give it a weight to weigh it.",IF(LEFT($F44,7)="NEITHER","Cannot be weighed — split it, premix it, or raise the batch size",IF($G44&gt;Settings!$B$4*$E44+0.0001,"Held to the scale's resolution, not "&amp;TEXT(Settings!$B$4,"0%"),""))))</f>
        <v/>
      </c>
    </row>
    <row r="45" customFormat="false" ht="15" hidden="false" customHeight="false" outlineLevel="0" collapsed="false">
      <c r="A45" s="21" t="str">
        <f aca="false">IF($B45="","",37)</f>
        <v/>
      </c>
      <c r="B45" s="22"/>
      <c r="C45" s="23"/>
      <c r="D45" s="24" t="str">
        <f aca="false">IF($B45="","",$C45/1000)</f>
        <v/>
      </c>
      <c r="E45" s="25" t="str">
        <f aca="false">IF($B45="","",$D45*$C$4)</f>
        <v/>
      </c>
      <c r="F45" s="26" t="str">
        <f aca="false">IF($B45="","",IF($C45=0,"Listed — not weighed",IF($E45&lt;0,"NEITHER — negative weight",IF($E45&gt;=Settings!$B$19,Settings!$B$6,IF($E45&gt;Settings!$B$14,"NEITHER — over bench capacity",IF($E45&gt;=2*Settings!$B$12,Settings!$B$11,"NEITHER — under bench resolution"))))))</f>
        <v/>
      </c>
      <c r="G45" s="25" t="str">
        <f aca="false">IF($B45="","",IF($F45=Settings!$B$6,MAX(2*Settings!$B$7,Settings!$B$4*$E45),IF($F45=Settings!$B$11,MAX(2*Settings!$B$12,Settings!$B$4*$E45),"")))</f>
        <v/>
      </c>
      <c r="H45" s="27" t="str">
        <f aca="false">IF($B45="","",IF(LEFT($F45,6)="Listed","Quantity 0: shown on the station as a reminder, not weighed. Give it a weight to weigh it.",IF(LEFT($F45,7)="NEITHER","Cannot be weighed — split it, premix it, or raise the batch size",IF($G45&gt;Settings!$B$4*$E45+0.0001,"Held to the scale's resolution, not "&amp;TEXT(Settings!$B$4,"0%"),""))))</f>
        <v/>
      </c>
    </row>
    <row r="46" customFormat="false" ht="15" hidden="false" customHeight="false" outlineLevel="0" collapsed="false">
      <c r="A46" s="21" t="str">
        <f aca="false">IF($B46="","",38)</f>
        <v/>
      </c>
      <c r="B46" s="22"/>
      <c r="C46" s="23"/>
      <c r="D46" s="24" t="str">
        <f aca="false">IF($B46="","",$C46/1000)</f>
        <v/>
      </c>
      <c r="E46" s="25" t="str">
        <f aca="false">IF($B46="","",$D46*$C$4)</f>
        <v/>
      </c>
      <c r="F46" s="26" t="str">
        <f aca="false">IF($B46="","",IF($C46=0,"Listed — not weighed",IF($E46&lt;0,"NEITHER — negative weight",IF($E46&gt;=Settings!$B$19,Settings!$B$6,IF($E46&gt;Settings!$B$14,"NEITHER — over bench capacity",IF($E46&gt;=2*Settings!$B$12,Settings!$B$11,"NEITHER — under bench resolution"))))))</f>
        <v/>
      </c>
      <c r="G46" s="25" t="str">
        <f aca="false">IF($B46="","",IF($F46=Settings!$B$6,MAX(2*Settings!$B$7,Settings!$B$4*$E46),IF($F46=Settings!$B$11,MAX(2*Settings!$B$12,Settings!$B$4*$E46),"")))</f>
        <v/>
      </c>
      <c r="H46" s="27" t="str">
        <f aca="false">IF($B46="","",IF(LEFT($F46,6)="Listed","Quantity 0: shown on the station as a reminder, not weighed. Give it a weight to weigh it.",IF(LEFT($F46,7)="NEITHER","Cannot be weighed — split it, premix it, or raise the batch size",IF($G46&gt;Settings!$B$4*$E46+0.0001,"Held to the scale's resolution, not "&amp;TEXT(Settings!$B$4,"0%"),""))))</f>
        <v/>
      </c>
    </row>
    <row r="47" customFormat="false" ht="15" hidden="false" customHeight="false" outlineLevel="0" collapsed="false">
      <c r="A47" s="21" t="str">
        <f aca="false">IF($B47="","",39)</f>
        <v/>
      </c>
      <c r="B47" s="22"/>
      <c r="C47" s="23"/>
      <c r="D47" s="24" t="str">
        <f aca="false">IF($B47="","",$C47/1000)</f>
        <v/>
      </c>
      <c r="E47" s="25" t="str">
        <f aca="false">IF($B47="","",$D47*$C$4)</f>
        <v/>
      </c>
      <c r="F47" s="26" t="str">
        <f aca="false">IF($B47="","",IF($C47=0,"Listed — not weighed",IF($E47&lt;0,"NEITHER — negative weight",IF($E47&gt;=Settings!$B$19,Settings!$B$6,IF($E47&gt;Settings!$B$14,"NEITHER — over bench capacity",IF($E47&gt;=2*Settings!$B$12,Settings!$B$11,"NEITHER — under bench resolution"))))))</f>
        <v/>
      </c>
      <c r="G47" s="25" t="str">
        <f aca="false">IF($B47="","",IF($F47=Settings!$B$6,MAX(2*Settings!$B$7,Settings!$B$4*$E47),IF($F47=Settings!$B$11,MAX(2*Settings!$B$12,Settings!$B$4*$E47),"")))</f>
        <v/>
      </c>
      <c r="H47" s="27" t="str">
        <f aca="false">IF($B47="","",IF(LEFT($F47,6)="Listed","Quantity 0: shown on the station as a reminder, not weighed. Give it a weight to weigh it.",IF(LEFT($F47,7)="NEITHER","Cannot be weighed — split it, premix it, or raise the batch size",IF($G47&gt;Settings!$B$4*$E47+0.0001,"Held to the scale's resolution, not "&amp;TEXT(Settings!$B$4,"0%"),""))))</f>
        <v/>
      </c>
    </row>
    <row r="48" customFormat="false" ht="15" hidden="false" customHeight="false" outlineLevel="0" collapsed="false">
      <c r="A48" s="21" t="str">
        <f aca="false">IF($B48="","",40)</f>
        <v/>
      </c>
      <c r="B48" s="22"/>
      <c r="C48" s="23"/>
      <c r="D48" s="24" t="str">
        <f aca="false">IF($B48="","",$C48/1000)</f>
        <v/>
      </c>
      <c r="E48" s="25" t="str">
        <f aca="false">IF($B48="","",$D48*$C$4)</f>
        <v/>
      </c>
      <c r="F48" s="26" t="str">
        <f aca="false">IF($B48="","",IF($C48=0,"Listed — not weighed",IF($E48&lt;0,"NEITHER — negative weight",IF($E48&gt;=Settings!$B$19,Settings!$B$6,IF($E48&gt;Settings!$B$14,"NEITHER — over bench capacity",IF($E48&gt;=2*Settings!$B$12,Settings!$B$11,"NEITHER — under bench resolution"))))))</f>
        <v/>
      </c>
      <c r="G48" s="25" t="str">
        <f aca="false">IF($B48="","",IF($F48=Settings!$B$6,MAX(2*Settings!$B$7,Settings!$B$4*$E48),IF($F48=Settings!$B$11,MAX(2*Settings!$B$12,Settings!$B$4*$E48),"")))</f>
        <v/>
      </c>
      <c r="H48" s="27" t="str">
        <f aca="false">IF($B48="","",IF(LEFT($F48,6)="Listed","Quantity 0: shown on the station as a reminder, not weighed. Give it a weight to weigh it.",IF(LEFT($F48,7)="NEITHER","Cannot be weighed — split it, premix it, or raise the batch size",IF($G48&gt;Settings!$B$4*$E48+0.0001,"Held to the scale's resolution, not "&amp;TEXT(Settings!$B$4,"0%"),""))))</f>
        <v/>
      </c>
    </row>
    <row r="50" customFormat="false" ht="15" hidden="false" customHeight="false" outlineLevel="0" collapsed="false">
      <c r="B50" s="17" t="s">
        <v>67</v>
      </c>
      <c r="C50" s="28" t="n">
        <f aca="false">SUM(C9:C48)</f>
        <v>233.259</v>
      </c>
      <c r="D50" s="29" t="n">
        <f aca="false">SUM(D9:D48)</f>
        <v>0.233259</v>
      </c>
      <c r="E50" s="28" t="n">
        <f aca="false">SUM(E9:E48)</f>
        <v>746.4288</v>
      </c>
    </row>
    <row r="51" customFormat="false" ht="15" hidden="false" customHeight="false" outlineLevel="0" collapsed="false">
      <c r="B51" s="5" t="s">
        <v>68</v>
      </c>
      <c r="E51" s="30" t="n">
        <f aca="false">$C$4+E50</f>
        <v>3946.4288</v>
      </c>
    </row>
    <row r="53" customFormat="false" ht="15" hidden="false" customHeight="false" outlineLevel="0" collapsed="false">
      <c r="B53" s="15" t="str">
        <f aca="false">IF(COUNTIF($F$9:$F$48,"NEITHER*")=0,"All ingredients can be weighed.","WARNING: "&amp;COUNTIF($F$9:$F$48,"NEITHER*")&amp;" ingredient(s) cannot be weighed on either scale — see the Note column.")</f>
        <v>All ingredients can be weighed.</v>
      </c>
      <c r="C53" s="15"/>
      <c r="D53" s="15"/>
      <c r="E53" s="15"/>
      <c r="F53" s="15"/>
      <c r="G53" s="15"/>
      <c r="H53" s="15"/>
    </row>
    <row r="55" customFormat="false" ht="30" hidden="false" customHeight="true" outlineLevel="0" collapsed="false">
      <c r="B55" s="31" t="s">
        <v>86</v>
      </c>
      <c r="C55" s="31"/>
      <c r="D55" s="31"/>
      <c r="E55" s="31"/>
      <c r="F55" s="31"/>
      <c r="G55" s="31"/>
      <c r="H55" s="31"/>
    </row>
  </sheetData>
  <mergeCells count="16">
    <mergeCell ref="A1:H1"/>
    <mergeCell ref="A2:H2"/>
    <mergeCell ref="A3:B3"/>
    <mergeCell ref="D3:H3"/>
    <mergeCell ref="A4:B4"/>
    <mergeCell ref="D4:H4"/>
    <mergeCell ref="A5:B5"/>
    <mergeCell ref="D5:E5"/>
    <mergeCell ref="F5:H5"/>
    <mergeCell ref="A6:B6"/>
    <mergeCell ref="D6:E6"/>
    <mergeCell ref="F6:H6"/>
    <mergeCell ref="A7:B7"/>
    <mergeCell ref="D7:H7"/>
    <mergeCell ref="B53:H53"/>
    <mergeCell ref="B55:H55"/>
  </mergeCells>
  <conditionalFormatting sqref="B53:H53">
    <cfRule type="expression" priority="2" aboveAverage="0" equalAverage="0" bottom="0" percent="0" rank="0" text="" dxfId="0">
      <formula>LEFT($B$53,5)="ERROR"</formula>
    </cfRule>
  </conditionalFormatting>
  <conditionalFormatting sqref="A9:H48">
    <cfRule type="expression" priority="3" aboveAverage="0" equalAverage="0" bottom="0" percent="0" rank="0" text="" dxfId="1">
      <formula>LEFT($F9,7)="NEITHER"</formula>
    </cfRule>
    <cfRule type="expression" priority="4" aboveAverage="0" equalAverage="0" bottom="0" percent="0" rank="0" text="" dxfId="2">
      <formula>AND($B9&lt;&gt;"",$H9&lt;&gt;"")</formula>
    </cfRule>
  </conditionalFormatting>
  <dataValidations count="1">
    <dataValidation allowBlank="true" errorStyle="stop" operator="between" showDropDown="false" showErrorMessage="false" showInputMessage="false" sqref="B9:B48" type="list">
      <formula1>IngredientList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6"/>
    <col collapsed="false" customWidth="true" hidden="false" outlineLevel="0" max="4" min="4" style="0" width="11"/>
    <col collapsed="false" customWidth="true" hidden="false" outlineLevel="0" max="5" min="5" style="0" width="16"/>
    <col collapsed="false" customWidth="true" hidden="false" outlineLevel="0" max="6" min="6" style="0" width="18"/>
    <col collapsed="false" customWidth="true" hidden="false" outlineLevel="0" max="7" min="7" style="0" width="13"/>
    <col collapsed="false" customWidth="true" hidden="false" outlineLevel="0" max="8" min="8" style="0" width="46"/>
  </cols>
  <sheetData>
    <row r="1" customFormat="false" ht="17.35" hidden="false" customHeight="false" outlineLevel="0" collapsed="false">
      <c r="A1" s="1" t="s">
        <v>101</v>
      </c>
      <c r="B1" s="1"/>
      <c r="C1" s="1"/>
      <c r="D1" s="1"/>
      <c r="E1" s="1"/>
      <c r="F1" s="1"/>
      <c r="G1" s="1"/>
      <c r="H1" s="1"/>
    </row>
    <row r="2" customFormat="false" ht="15" hidden="false" customHeight="false" outlineLevel="0" collapsed="false">
      <c r="A2" s="2" t="s">
        <v>44</v>
      </c>
      <c r="B2" s="2"/>
      <c r="C2" s="2"/>
      <c r="D2" s="2"/>
      <c r="E2" s="2"/>
      <c r="F2" s="2"/>
      <c r="G2" s="2"/>
      <c r="H2" s="2"/>
    </row>
    <row r="3" customFormat="false" ht="15" hidden="false" customHeight="false" outlineLevel="0" collapsed="false">
      <c r="A3" s="16" t="s">
        <v>45</v>
      </c>
      <c r="B3" s="16"/>
      <c r="C3" s="17" t="s">
        <v>46</v>
      </c>
      <c r="D3" s="2" t="s">
        <v>47</v>
      </c>
      <c r="E3" s="2"/>
      <c r="F3" s="2"/>
      <c r="G3" s="2"/>
      <c r="H3" s="2"/>
    </row>
    <row r="4" customFormat="false" ht="15" hidden="false" customHeight="false" outlineLevel="0" collapsed="false">
      <c r="A4" s="16" t="s">
        <v>48</v>
      </c>
      <c r="B4" s="16"/>
      <c r="C4" s="18" t="n">
        <v>3200</v>
      </c>
      <c r="D4" s="2" t="s">
        <v>49</v>
      </c>
      <c r="E4" s="2"/>
      <c r="F4" s="2"/>
      <c r="G4" s="2"/>
      <c r="H4" s="2"/>
    </row>
    <row r="5" customFormat="false" ht="15" hidden="false" customHeight="false" outlineLevel="0" collapsed="false">
      <c r="A5" s="16" t="s">
        <v>50</v>
      </c>
      <c r="B5" s="16"/>
      <c r="C5" s="8" t="s">
        <v>102</v>
      </c>
      <c r="D5" s="16" t="s">
        <v>52</v>
      </c>
      <c r="E5" s="16"/>
      <c r="F5" s="19" t="s">
        <v>53</v>
      </c>
      <c r="G5" s="19"/>
      <c r="H5" s="19"/>
    </row>
    <row r="6" customFormat="false" ht="15" hidden="false" customHeight="false" outlineLevel="0" collapsed="false">
      <c r="A6" s="16" t="s">
        <v>54</v>
      </c>
      <c r="B6" s="16"/>
      <c r="C6" s="8"/>
      <c r="D6" s="16" t="s">
        <v>55</v>
      </c>
      <c r="E6" s="16"/>
      <c r="F6" s="19"/>
      <c r="G6" s="19"/>
      <c r="H6" s="19"/>
    </row>
    <row r="7" customFormat="false" ht="15" hidden="false" customHeight="false" outlineLevel="0" collapsed="false">
      <c r="A7" s="16" t="s">
        <v>56</v>
      </c>
      <c r="B7" s="16"/>
      <c r="C7" s="8" t="s">
        <v>103</v>
      </c>
      <c r="D7" s="2" t="s">
        <v>57</v>
      </c>
      <c r="E7" s="2"/>
      <c r="F7" s="2"/>
      <c r="G7" s="2"/>
      <c r="H7" s="2"/>
    </row>
    <row r="8" customFormat="false" ht="23.85" hidden="false" customHeight="false" outlineLevel="0" collapsed="false">
      <c r="A8" s="20" t="s">
        <v>58</v>
      </c>
      <c r="B8" s="20" t="s">
        <v>59</v>
      </c>
      <c r="C8" s="20" t="s">
        <v>60</v>
      </c>
      <c r="D8" s="20" t="s">
        <v>61</v>
      </c>
      <c r="E8" s="20" t="s">
        <v>62</v>
      </c>
      <c r="F8" s="20" t="s">
        <v>63</v>
      </c>
      <c r="G8" s="20" t="s">
        <v>64</v>
      </c>
      <c r="H8" s="20" t="s">
        <v>65</v>
      </c>
    </row>
    <row r="9" customFormat="false" ht="15" hidden="false" customHeight="false" outlineLevel="0" collapsed="false">
      <c r="A9" s="21" t="n">
        <f aca="false">IF($B9="","",1)</f>
        <v>1</v>
      </c>
      <c r="B9" s="22" t="s">
        <v>104</v>
      </c>
      <c r="C9" s="23" t="n">
        <v>180</v>
      </c>
      <c r="D9" s="24" t="n">
        <f aca="false">IF($B9="","",$C9/1000)</f>
        <v>0.18</v>
      </c>
      <c r="E9" s="25" t="n">
        <f aca="false">IF($B9="","",$D9*$C$4)</f>
        <v>576</v>
      </c>
      <c r="F9" s="26" t="str">
        <f aca="false">IF($B9="","",IF($C9=0,"Listed — not weighed",IF($E9&lt;0,"NEITHER — negative weight",IF($E9&gt;=Settings!$B$19,Settings!$B$6,IF($E9&gt;Settings!$B$14,"NEITHER — over bench capacity",IF($E9&gt;=2*Settings!$B$12,Settings!$B$11,"NEITHER — under bench resolution"))))))</f>
        <v>Main scale</v>
      </c>
      <c r="G9" s="25" t="n">
        <f aca="false">IF($B9="","",IF($F9=Settings!$B$6,MAX(2*Settings!$B$7,Settings!$B$4*$E9),IF($F9=Settings!$B$11,MAX(2*Settings!$B$12,Settings!$B$4*$E9),"")))</f>
        <v>11.52</v>
      </c>
      <c r="H9" s="27" t="str">
        <f aca="false">IF($B9="","",IF(LEFT($F9,6)="Listed","Quantity 0: shown on the station as a reminder, not weighed. Give it a weight to weigh it.",IF(LEFT($F9,7)="NEITHER","Cannot be weighed — split it, premix it, or raise the batch size",IF($G9&gt;Settings!$B$4*$E9+0.0001,"Held to the scale's resolution, not "&amp;TEXT(Settings!$B$4,"0%"),""))))</f>
        <v/>
      </c>
    </row>
    <row r="10" customFormat="false" ht="15" hidden="false" customHeight="false" outlineLevel="0" collapsed="false">
      <c r="A10" s="21" t="n">
        <f aca="false">IF($B10="","",2)</f>
        <v>2</v>
      </c>
      <c r="B10" s="22" t="s">
        <v>105</v>
      </c>
      <c r="C10" s="23" t="n">
        <v>0.95</v>
      </c>
      <c r="D10" s="24" t="n">
        <f aca="false">IF($B10="","",$C10/1000)</f>
        <v>0.00095</v>
      </c>
      <c r="E10" s="25" t="n">
        <f aca="false">IF($B10="","",$D10*$C$4)</f>
        <v>3.04</v>
      </c>
      <c r="F10" s="26" t="str">
        <f aca="false">IF($B10="","",IF($C10=0,"Listed — not weighed",IF($E10&lt;0,"NEITHER — negative weight",IF($E10&gt;=Settings!$B$19,Settings!$B$6,IF($E10&gt;Settings!$B$14,"NEITHER — over bench capacity",IF($E10&gt;=2*Settings!$B$12,Settings!$B$11,"NEITHER — under bench resolution"))))))</f>
        <v>Small scale</v>
      </c>
      <c r="G10" s="25" t="n">
        <f aca="false">IF($B10="","",IF($F10=Settings!$B$6,MAX(2*Settings!$B$7,Settings!$B$4*$E10),IF($F10=Settings!$B$11,MAX(2*Settings!$B$12,Settings!$B$4*$E10),"")))</f>
        <v>0.2</v>
      </c>
      <c r="H10" s="27" t="str">
        <f aca="false">IF($B10="","",IF(LEFT($F10,6)="Listed","Quantity 0: shown on the station as a reminder, not weighed. Give it a weight to weigh it.",IF(LEFT($F10,7)="NEITHER","Cannot be weighed — split it, premix it, or raise the batch size",IF($G10&gt;Settings!$B$4*$E10+0.0001,"Held to the scale's resolution, not "&amp;TEXT(Settings!$B$4,"0%"),""))))</f>
        <v>Held to the scale's resolution, not 2%</v>
      </c>
    </row>
    <row r="11" customFormat="false" ht="15" hidden="false" customHeight="false" outlineLevel="0" collapsed="false">
      <c r="A11" s="21" t="n">
        <f aca="false">IF($B11="","",3)</f>
        <v>3</v>
      </c>
      <c r="B11" s="22" t="s">
        <v>106</v>
      </c>
      <c r="C11" s="23" t="n">
        <v>12</v>
      </c>
      <c r="D11" s="24" t="n">
        <f aca="false">IF($B11="","",$C11/1000)</f>
        <v>0.012</v>
      </c>
      <c r="E11" s="25" t="n">
        <f aca="false">IF($B11="","",$D11*$C$4)</f>
        <v>38.4</v>
      </c>
      <c r="F11" s="26" t="str">
        <f aca="false">IF($B11="","",IF($C11=0,"Listed — not weighed",IF($E11&lt;0,"NEITHER — negative weight",IF($E11&gt;=Settings!$B$19,Settings!$B$6,IF($E11&gt;Settings!$B$14,"NEITHER — over bench capacity",IF($E11&gt;=2*Settings!$B$12,Settings!$B$11,"NEITHER — under bench resolution"))))))</f>
        <v>Main scale</v>
      </c>
      <c r="G11" s="25" t="n">
        <f aca="false">IF($B11="","",IF($F11=Settings!$B$6,MAX(2*Settings!$B$7,Settings!$B$4*$E11),IF($F11=Settings!$B$11,MAX(2*Settings!$B$12,Settings!$B$4*$E11),"")))</f>
        <v>2</v>
      </c>
      <c r="H11" s="27" t="str">
        <f aca="false">IF($B11="","",IF(LEFT($F11,6)="Listed","Quantity 0: shown on the station as a reminder, not weighed. Give it a weight to weigh it.",IF(LEFT($F11,7)="NEITHER","Cannot be weighed — split it, premix it, or raise the batch size",IF($G11&gt;Settings!$B$4*$E11+0.0001,"Held to the scale's resolution, not "&amp;TEXT(Settings!$B$4,"0%"),""))))</f>
        <v>Held to the scale's resolution, not 2%</v>
      </c>
    </row>
    <row r="12" customFormat="false" ht="15" hidden="false" customHeight="false" outlineLevel="0" collapsed="false">
      <c r="A12" s="21" t="n">
        <f aca="false">IF($B12="","",4)</f>
        <v>4</v>
      </c>
      <c r="B12" s="22" t="s">
        <v>80</v>
      </c>
      <c r="C12" s="23" t="n">
        <v>7.2</v>
      </c>
      <c r="D12" s="24" t="n">
        <f aca="false">IF($B12="","",$C12/1000)</f>
        <v>0.0072</v>
      </c>
      <c r="E12" s="25" t="n">
        <f aca="false">IF($B12="","",$D12*$C$4)</f>
        <v>23.04</v>
      </c>
      <c r="F12" s="26" t="str">
        <f aca="false">IF($B12="","",IF($C12=0,"Listed — not weighed",IF($E12&lt;0,"NEITHER — negative weight",IF($E12&gt;=Settings!$B$19,Settings!$B$6,IF($E12&gt;Settings!$B$14,"NEITHER — over bench capacity",IF($E12&gt;=2*Settings!$B$12,Settings!$B$11,"NEITHER — under bench resolution"))))))</f>
        <v>Main scale</v>
      </c>
      <c r="G12" s="25" t="n">
        <f aca="false">IF($B12="","",IF($F12=Settings!$B$6,MAX(2*Settings!$B$7,Settings!$B$4*$E12),IF($F12=Settings!$B$11,MAX(2*Settings!$B$12,Settings!$B$4*$E12),"")))</f>
        <v>2</v>
      </c>
      <c r="H12" s="27" t="str">
        <f aca="false">IF($B12="","",IF(LEFT($F12,6)="Listed","Quantity 0: shown on the station as a reminder, not weighed. Give it a weight to weigh it.",IF(LEFT($F12,7)="NEITHER","Cannot be weighed — split it, premix it, or raise the batch size",IF($G12&gt;Settings!$B$4*$E12+0.0001,"Held to the scale's resolution, not "&amp;TEXT(Settings!$B$4,"0%"),""))))</f>
        <v>Held to the scale's resolution, not 2%</v>
      </c>
    </row>
    <row r="13" customFormat="false" ht="15" hidden="false" customHeight="false" outlineLevel="0" collapsed="false">
      <c r="A13" s="21" t="n">
        <f aca="false">IF($B13="","",5)</f>
        <v>5</v>
      </c>
      <c r="B13" s="22" t="s">
        <v>90</v>
      </c>
      <c r="C13" s="23" t="n">
        <v>36</v>
      </c>
      <c r="D13" s="24" t="n">
        <f aca="false">IF($B13="","",$C13/1000)</f>
        <v>0.036</v>
      </c>
      <c r="E13" s="25" t="n">
        <f aca="false">IF($B13="","",$D13*$C$4)</f>
        <v>115.2</v>
      </c>
      <c r="F13" s="26" t="str">
        <f aca="false">IF($B13="","",IF($C13=0,"Listed — not weighed",IF($E13&lt;0,"NEITHER — negative weight",IF($E13&gt;=Settings!$B$19,Settings!$B$6,IF($E13&gt;Settings!$B$14,"NEITHER — over bench capacity",IF($E13&gt;=2*Settings!$B$12,Settings!$B$11,"NEITHER — under bench resolution"))))))</f>
        <v>Main scale</v>
      </c>
      <c r="G13" s="25" t="n">
        <f aca="false">IF($B13="","",IF($F13=Settings!$B$6,MAX(2*Settings!$B$7,Settings!$B$4*$E13),IF($F13=Settings!$B$11,MAX(2*Settings!$B$12,Settings!$B$4*$E13),"")))</f>
        <v>2.304</v>
      </c>
      <c r="H13" s="27" t="str">
        <f aca="false">IF($B13="","",IF(LEFT($F13,6)="Listed","Quantity 0: shown on the station as a reminder, not weighed. Give it a weight to weigh it.",IF(LEFT($F13,7)="NEITHER","Cannot be weighed — split it, premix it, or raise the batch size",IF($G13&gt;Settings!$B$4*$E13+0.0001,"Held to the scale's resolution, not "&amp;TEXT(Settings!$B$4,"0%"),""))))</f>
        <v/>
      </c>
    </row>
    <row r="14" customFormat="false" ht="15" hidden="false" customHeight="false" outlineLevel="0" collapsed="false">
      <c r="A14" s="21" t="n">
        <f aca="false">IF($B14="","",6)</f>
        <v>6</v>
      </c>
      <c r="B14" s="22" t="s">
        <v>107</v>
      </c>
      <c r="C14" s="23" t="n">
        <v>12</v>
      </c>
      <c r="D14" s="24" t="n">
        <f aca="false">IF($B14="","",$C14/1000)</f>
        <v>0.012</v>
      </c>
      <c r="E14" s="25" t="n">
        <f aca="false">IF($B14="","",$D14*$C$4)</f>
        <v>38.4</v>
      </c>
      <c r="F14" s="26" t="str">
        <f aca="false">IF($B14="","",IF($C14=0,"Listed — not weighed",IF($E14&lt;0,"NEITHER — negative weight",IF($E14&gt;=Settings!$B$19,Settings!$B$6,IF($E14&gt;Settings!$B$14,"NEITHER — over bench capacity",IF($E14&gt;=2*Settings!$B$12,Settings!$B$11,"NEITHER — under bench resolution"))))))</f>
        <v>Main scale</v>
      </c>
      <c r="G14" s="25" t="n">
        <f aca="false">IF($B14="","",IF($F14=Settings!$B$6,MAX(2*Settings!$B$7,Settings!$B$4*$E14),IF($F14=Settings!$B$11,MAX(2*Settings!$B$12,Settings!$B$4*$E14),"")))</f>
        <v>2</v>
      </c>
      <c r="H14" s="27" t="str">
        <f aca="false">IF($B14="","",IF(LEFT($F14,6)="Listed","Quantity 0: shown on the station as a reminder, not weighed. Give it a weight to weigh it.",IF(LEFT($F14,7)="NEITHER","Cannot be weighed — split it, premix it, or raise the batch size",IF($G14&gt;Settings!$B$4*$E14+0.0001,"Held to the scale's resolution, not "&amp;TEXT(Settings!$B$4,"0%"),""))))</f>
        <v>Held to the scale's resolution, not 2%</v>
      </c>
    </row>
    <row r="15" customFormat="false" ht="15" hidden="false" customHeight="false" outlineLevel="0" collapsed="false">
      <c r="A15" s="21" t="n">
        <f aca="false">IF($B15="","",7)</f>
        <v>7</v>
      </c>
      <c r="B15" s="22" t="s">
        <v>83</v>
      </c>
      <c r="C15" s="23" t="n">
        <v>24</v>
      </c>
      <c r="D15" s="24" t="n">
        <f aca="false">IF($B15="","",$C15/1000)</f>
        <v>0.024</v>
      </c>
      <c r="E15" s="25" t="n">
        <f aca="false">IF($B15="","",$D15*$C$4)</f>
        <v>76.8</v>
      </c>
      <c r="F15" s="26" t="str">
        <f aca="false">IF($B15="","",IF($C15=0,"Listed — not weighed",IF($E15&lt;0,"NEITHER — negative weight",IF($E15&gt;=Settings!$B$19,Settings!$B$6,IF($E15&gt;Settings!$B$14,"NEITHER — over bench capacity",IF($E15&gt;=2*Settings!$B$12,Settings!$B$11,"NEITHER — under bench resolution"))))))</f>
        <v>Main scale</v>
      </c>
      <c r="G15" s="25" t="n">
        <f aca="false">IF($B15="","",IF($F15=Settings!$B$6,MAX(2*Settings!$B$7,Settings!$B$4*$E15),IF($F15=Settings!$B$11,MAX(2*Settings!$B$12,Settings!$B$4*$E15),"")))</f>
        <v>2</v>
      </c>
      <c r="H15" s="27" t="str">
        <f aca="false">IF($B15="","",IF(LEFT($F15,6)="Listed","Quantity 0: shown on the station as a reminder, not weighed. Give it a weight to weigh it.",IF(LEFT($F15,7)="NEITHER","Cannot be weighed — split it, premix it, or raise the batch size",IF($G15&gt;Settings!$B$4*$E15+0.0001,"Held to the scale's resolution, not "&amp;TEXT(Settings!$B$4,"0%"),""))))</f>
        <v>Held to the scale's resolution, not 2%</v>
      </c>
    </row>
    <row r="16" customFormat="false" ht="15" hidden="false" customHeight="false" outlineLevel="0" collapsed="false">
      <c r="A16" s="21" t="n">
        <f aca="false">IF($B16="","",8)</f>
        <v>8</v>
      </c>
      <c r="B16" s="22" t="s">
        <v>108</v>
      </c>
      <c r="C16" s="23" t="n">
        <v>201.9</v>
      </c>
      <c r="D16" s="24" t="n">
        <f aca="false">IF($B16="","",$C16/1000)</f>
        <v>0.2019</v>
      </c>
      <c r="E16" s="25" t="n">
        <f aca="false">IF($B16="","",$D16*$C$4)</f>
        <v>646.08</v>
      </c>
      <c r="F16" s="26" t="str">
        <f aca="false">IF($B16="","",IF($C16=0,"Listed — not weighed",IF($E16&lt;0,"NEITHER — negative weight",IF($E16&gt;=Settings!$B$19,Settings!$B$6,IF($E16&gt;Settings!$B$14,"NEITHER — over bench capacity",IF($E16&gt;=2*Settings!$B$12,Settings!$B$11,"NEITHER — under bench resolution"))))))</f>
        <v>Main scale</v>
      </c>
      <c r="G16" s="25" t="n">
        <f aca="false">IF($B16="","",IF($F16=Settings!$B$6,MAX(2*Settings!$B$7,Settings!$B$4*$E16),IF($F16=Settings!$B$11,MAX(2*Settings!$B$12,Settings!$B$4*$E16),"")))</f>
        <v>12.9216</v>
      </c>
      <c r="H16" s="27" t="str">
        <f aca="false">IF($B16="","",IF(LEFT($F16,6)="Listed","Quantity 0: shown on the station as a reminder, not weighed. Give it a weight to weigh it.",IF(LEFT($F16,7)="NEITHER","Cannot be weighed — split it, premix it, or raise the batch size",IF($G16&gt;Settings!$B$4*$E16+0.0001,"Held to the scale's resolution, not "&amp;TEXT(Settings!$B$4,"0%"),""))))</f>
        <v/>
      </c>
    </row>
    <row r="17" customFormat="false" ht="15" hidden="false" customHeight="false" outlineLevel="0" collapsed="false">
      <c r="A17" s="21" t="n">
        <f aca="false">IF($B17="","",9)</f>
        <v>9</v>
      </c>
      <c r="B17" s="22" t="s">
        <v>109</v>
      </c>
      <c r="C17" s="23" t="n">
        <v>15</v>
      </c>
      <c r="D17" s="24" t="n">
        <f aca="false">IF($B17="","",$C17/1000)</f>
        <v>0.015</v>
      </c>
      <c r="E17" s="25" t="n">
        <f aca="false">IF($B17="","",$D17*$C$4)</f>
        <v>48</v>
      </c>
      <c r="F17" s="26" t="str">
        <f aca="false">IF($B17="","",IF($C17=0,"Listed — not weighed",IF($E17&lt;0,"NEITHER — negative weight",IF($E17&gt;=Settings!$B$19,Settings!$B$6,IF($E17&gt;Settings!$B$14,"NEITHER — over bench capacity",IF($E17&gt;=2*Settings!$B$12,Settings!$B$11,"NEITHER — under bench resolution"))))))</f>
        <v>Main scale</v>
      </c>
      <c r="G17" s="25" t="n">
        <f aca="false">IF($B17="","",IF($F17=Settings!$B$6,MAX(2*Settings!$B$7,Settings!$B$4*$E17),IF($F17=Settings!$B$11,MAX(2*Settings!$B$12,Settings!$B$4*$E17),"")))</f>
        <v>2</v>
      </c>
      <c r="H17" s="27" t="str">
        <f aca="false">IF($B17="","",IF(LEFT($F17,6)="Listed","Quantity 0: shown on the station as a reminder, not weighed. Give it a weight to weigh it.",IF(LEFT($F17,7)="NEITHER","Cannot be weighed — split it, premix it, or raise the batch size",IF($G17&gt;Settings!$B$4*$E17+0.0001,"Held to the scale's resolution, not "&amp;TEXT(Settings!$B$4,"0%"),""))))</f>
        <v>Held to the scale's resolution, not 2%</v>
      </c>
    </row>
    <row r="18" customFormat="false" ht="15" hidden="false" customHeight="false" outlineLevel="0" collapsed="false">
      <c r="A18" s="21" t="n">
        <f aca="false">IF($B18="","",10)</f>
        <v>10</v>
      </c>
      <c r="B18" s="22" t="s">
        <v>110</v>
      </c>
      <c r="C18" s="23" t="n">
        <v>2</v>
      </c>
      <c r="D18" s="24" t="n">
        <f aca="false">IF($B18="","",$C18/1000)</f>
        <v>0.002</v>
      </c>
      <c r="E18" s="25" t="n">
        <f aca="false">IF($B18="","",$D18*$C$4)</f>
        <v>6.4</v>
      </c>
      <c r="F18" s="26" t="str">
        <f aca="false">IF($B18="","",IF($C18=0,"Listed — not weighed",IF($E18&lt;0,"NEITHER — negative weight",IF($E18&gt;=Settings!$B$19,Settings!$B$6,IF($E18&gt;Settings!$B$14,"NEITHER — over bench capacity",IF($E18&gt;=2*Settings!$B$12,Settings!$B$11,"NEITHER — under bench resolution"))))))</f>
        <v>Main scale</v>
      </c>
      <c r="G18" s="25" t="n">
        <f aca="false">IF($B18="","",IF($F18=Settings!$B$6,MAX(2*Settings!$B$7,Settings!$B$4*$E18),IF($F18=Settings!$B$11,MAX(2*Settings!$B$12,Settings!$B$4*$E18),"")))</f>
        <v>2</v>
      </c>
      <c r="H18" s="27" t="str">
        <f aca="false">IF($B18="","",IF(LEFT($F18,6)="Listed","Quantity 0: shown on the station as a reminder, not weighed. Give it a weight to weigh it.",IF(LEFT($F18,7)="NEITHER","Cannot be weighed — split it, premix it, or raise the batch size",IF($G18&gt;Settings!$B$4*$E18+0.0001,"Held to the scale's resolution, not "&amp;TEXT(Settings!$B$4,"0%"),""))))</f>
        <v>Held to the scale's resolution, not 2%</v>
      </c>
    </row>
    <row r="19" customFormat="false" ht="15" hidden="false" customHeight="false" outlineLevel="0" collapsed="false">
      <c r="A19" s="21" t="n">
        <f aca="false">IF($B19="","",11)</f>
        <v>11</v>
      </c>
      <c r="B19" s="22" t="s">
        <v>99</v>
      </c>
      <c r="C19" s="23" t="n">
        <v>1</v>
      </c>
      <c r="D19" s="24" t="n">
        <f aca="false">IF($B19="","",$C19/1000)</f>
        <v>0.001</v>
      </c>
      <c r="E19" s="25" t="n">
        <f aca="false">IF($B19="","",$D19*$C$4)</f>
        <v>3.2</v>
      </c>
      <c r="F19" s="26" t="str">
        <f aca="false">IF($B19="","",IF($C19=0,"Listed — not weighed",IF($E19&lt;0,"NEITHER — negative weight",IF($E19&gt;=Settings!$B$19,Settings!$B$6,IF($E19&gt;Settings!$B$14,"NEITHER — over bench capacity",IF($E19&gt;=2*Settings!$B$12,Settings!$B$11,"NEITHER — under bench resolution"))))))</f>
        <v>Small scale</v>
      </c>
      <c r="G19" s="25" t="n">
        <f aca="false">IF($B19="","",IF($F19=Settings!$B$6,MAX(2*Settings!$B$7,Settings!$B$4*$E19),IF($F19=Settings!$B$11,MAX(2*Settings!$B$12,Settings!$B$4*$E19),"")))</f>
        <v>0.2</v>
      </c>
      <c r="H19" s="27" t="str">
        <f aca="false">IF($B19="","",IF(LEFT($F19,6)="Listed","Quantity 0: shown on the station as a reminder, not weighed. Give it a weight to weigh it.",IF(LEFT($F19,7)="NEITHER","Cannot be weighed — split it, premix it, or raise the batch size",IF($G19&gt;Settings!$B$4*$E19+0.0001,"Held to the scale's resolution, not "&amp;TEXT(Settings!$B$4,"0%"),""))))</f>
        <v>Held to the scale's resolution, not 2%</v>
      </c>
    </row>
    <row r="20" customFormat="false" ht="15" hidden="false" customHeight="false" outlineLevel="0" collapsed="false">
      <c r="A20" s="21" t="n">
        <f aca="false">IF($B20="","",12)</f>
        <v>12</v>
      </c>
      <c r="B20" s="22" t="s">
        <v>111</v>
      </c>
      <c r="C20" s="23" t="n">
        <v>45</v>
      </c>
      <c r="D20" s="24" t="n">
        <f aca="false">IF($B20="","",$C20/1000)</f>
        <v>0.045</v>
      </c>
      <c r="E20" s="25" t="n">
        <f aca="false">IF($B20="","",$D20*$C$4)</f>
        <v>144</v>
      </c>
      <c r="F20" s="26" t="str">
        <f aca="false">IF($B20="","",IF($C20=0,"Listed — not weighed",IF($E20&lt;0,"NEITHER — negative weight",IF($E20&gt;=Settings!$B$19,Settings!$B$6,IF($E20&gt;Settings!$B$14,"NEITHER — over bench capacity",IF($E20&gt;=2*Settings!$B$12,Settings!$B$11,"NEITHER — under bench resolution"))))))</f>
        <v>Main scale</v>
      </c>
      <c r="G20" s="25" t="n">
        <f aca="false">IF($B20="","",IF($F20=Settings!$B$6,MAX(2*Settings!$B$7,Settings!$B$4*$E20),IF($F20=Settings!$B$11,MAX(2*Settings!$B$12,Settings!$B$4*$E20),"")))</f>
        <v>2.88</v>
      </c>
      <c r="H20" s="27" t="str">
        <f aca="false">IF($B20="","",IF(LEFT($F20,6)="Listed","Quantity 0: shown on the station as a reminder, not weighed. Give it a weight to weigh it.",IF(LEFT($F20,7)="NEITHER","Cannot be weighed — split it, premix it, or raise the batch size",IF($G20&gt;Settings!$B$4*$E20+0.0001,"Held to the scale's resolution, not "&amp;TEXT(Settings!$B$4,"0%"),""))))</f>
        <v/>
      </c>
    </row>
    <row r="21" customFormat="false" ht="15" hidden="false" customHeight="false" outlineLevel="0" collapsed="false">
      <c r="A21" s="21" t="n">
        <f aca="false">IF($B21="","",13)</f>
        <v>13</v>
      </c>
      <c r="B21" s="22" t="s">
        <v>112</v>
      </c>
      <c r="C21" s="23" t="n">
        <v>38.87</v>
      </c>
      <c r="D21" s="24" t="n">
        <f aca="false">IF($B21="","",$C21/1000)</f>
        <v>0.03887</v>
      </c>
      <c r="E21" s="25" t="n">
        <f aca="false">IF($B21="","",$D21*$C$4)</f>
        <v>124.384</v>
      </c>
      <c r="F21" s="26" t="str">
        <f aca="false">IF($B21="","",IF($C21=0,"Listed — not weighed",IF($E21&lt;0,"NEITHER — negative weight",IF($E21&gt;=Settings!$B$19,Settings!$B$6,IF($E21&gt;Settings!$B$14,"NEITHER — over bench capacity",IF($E21&gt;=2*Settings!$B$12,Settings!$B$11,"NEITHER — under bench resolution"))))))</f>
        <v>Main scale</v>
      </c>
      <c r="G21" s="25" t="n">
        <f aca="false">IF($B21="","",IF($F21=Settings!$B$6,MAX(2*Settings!$B$7,Settings!$B$4*$E21),IF($F21=Settings!$B$11,MAX(2*Settings!$B$12,Settings!$B$4*$E21),"")))</f>
        <v>2.48768</v>
      </c>
      <c r="H21" s="27" t="str">
        <f aca="false">IF($B21="","",IF(LEFT($F21,6)="Listed","Quantity 0: shown on the station as a reminder, not weighed. Give it a weight to weigh it.",IF(LEFT($F21,7)="NEITHER","Cannot be weighed — split it, premix it, or raise the batch size",IF($G21&gt;Settings!$B$4*$E21+0.0001,"Held to the scale's resolution, not "&amp;TEXT(Settings!$B$4,"0%"),""))))</f>
        <v/>
      </c>
    </row>
    <row r="22" customFormat="false" ht="15" hidden="false" customHeight="false" outlineLevel="0" collapsed="false">
      <c r="A22" s="21" t="n">
        <f aca="false">IF($B22="","",14)</f>
        <v>14</v>
      </c>
      <c r="B22" s="22" t="s">
        <v>113</v>
      </c>
      <c r="C22" s="23" t="n">
        <v>6.802</v>
      </c>
      <c r="D22" s="24" t="n">
        <f aca="false">IF($B22="","",$C22/1000)</f>
        <v>0.006802</v>
      </c>
      <c r="E22" s="25" t="n">
        <f aca="false">IF($B22="","",$D22*$C$4)</f>
        <v>21.7664</v>
      </c>
      <c r="F22" s="26" t="str">
        <f aca="false">IF($B22="","",IF($C22=0,"Listed — not weighed",IF($E22&lt;0,"NEITHER — negative weight",IF($E22&gt;=Settings!$B$19,Settings!$B$6,IF($E22&gt;Settings!$B$14,"NEITHER — over bench capacity",IF($E22&gt;=2*Settings!$B$12,Settings!$B$11,"NEITHER — under bench resolution"))))))</f>
        <v>Main scale</v>
      </c>
      <c r="G22" s="25" t="n">
        <f aca="false">IF($B22="","",IF($F22=Settings!$B$6,MAX(2*Settings!$B$7,Settings!$B$4*$E22),IF($F22=Settings!$B$11,MAX(2*Settings!$B$12,Settings!$B$4*$E22),"")))</f>
        <v>2</v>
      </c>
      <c r="H22" s="27" t="str">
        <f aca="false">IF($B22="","",IF(LEFT($F22,6)="Listed","Quantity 0: shown on the station as a reminder, not weighed. Give it a weight to weigh it.",IF(LEFT($F22,7)="NEITHER","Cannot be weighed — split it, premix it, or raise the batch size",IF($G22&gt;Settings!$B$4*$E22+0.0001,"Held to the scale's resolution, not "&amp;TEXT(Settings!$B$4,"0%"),""))))</f>
        <v>Held to the scale's resolution, not 2%</v>
      </c>
    </row>
    <row r="23" customFormat="false" ht="15" hidden="false" customHeight="false" outlineLevel="0" collapsed="false">
      <c r="A23" s="21" t="n">
        <f aca="false">IF($B23="","",15)</f>
        <v>15</v>
      </c>
      <c r="B23" s="22" t="s">
        <v>114</v>
      </c>
      <c r="C23" s="23" t="n">
        <v>1.037</v>
      </c>
      <c r="D23" s="24" t="n">
        <f aca="false">IF($B23="","",$C23/1000)</f>
        <v>0.001037</v>
      </c>
      <c r="E23" s="25" t="n">
        <f aca="false">IF($B23="","",$D23*$C$4)</f>
        <v>3.3184</v>
      </c>
      <c r="F23" s="26" t="str">
        <f aca="false">IF($B23="","",IF($C23=0,"Listed — not weighed",IF($E23&lt;0,"NEITHER — negative weight",IF($E23&gt;=Settings!$B$19,Settings!$B$6,IF($E23&gt;Settings!$B$14,"NEITHER — over bench capacity",IF($E23&gt;=2*Settings!$B$12,Settings!$B$11,"NEITHER — under bench resolution"))))))</f>
        <v>Small scale</v>
      </c>
      <c r="G23" s="25" t="n">
        <f aca="false">IF($B23="","",IF($F23=Settings!$B$6,MAX(2*Settings!$B$7,Settings!$B$4*$E23),IF($F23=Settings!$B$11,MAX(2*Settings!$B$12,Settings!$B$4*$E23),"")))</f>
        <v>0.2</v>
      </c>
      <c r="H23" s="27" t="str">
        <f aca="false">IF($B23="","",IF(LEFT($F23,6)="Listed","Quantity 0: shown on the station as a reminder, not weighed. Give it a weight to weigh it.",IF(LEFT($F23,7)="NEITHER","Cannot be weighed — split it, premix it, or raise the batch size",IF($G23&gt;Settings!$B$4*$E23+0.0001,"Held to the scale's resolution, not "&amp;TEXT(Settings!$B$4,"0%"),""))))</f>
        <v>Held to the scale's resolution, not 2%</v>
      </c>
    </row>
    <row r="24" customFormat="false" ht="15" hidden="false" customHeight="false" outlineLevel="0" collapsed="false">
      <c r="A24" s="21" t="str">
        <f aca="false">IF($B24="","",16)</f>
        <v/>
      </c>
      <c r="B24" s="22"/>
      <c r="C24" s="23"/>
      <c r="D24" s="24" t="str">
        <f aca="false">IF($B24="","",$C24/1000)</f>
        <v/>
      </c>
      <c r="E24" s="25" t="str">
        <f aca="false">IF($B24="","",$D24*$C$4)</f>
        <v/>
      </c>
      <c r="F24" s="26" t="str">
        <f aca="false">IF($B24="","",IF($C24=0,"Listed — not weighed",IF($E24&lt;0,"NEITHER — negative weight",IF($E24&gt;=Settings!$B$19,Settings!$B$6,IF($E24&gt;Settings!$B$14,"NEITHER — over bench capacity",IF($E24&gt;=2*Settings!$B$12,Settings!$B$11,"NEITHER — under bench resolution"))))))</f>
        <v/>
      </c>
      <c r="G24" s="25" t="str">
        <f aca="false">IF($B24="","",IF($F24=Settings!$B$6,MAX(2*Settings!$B$7,Settings!$B$4*$E24),IF($F24=Settings!$B$11,MAX(2*Settings!$B$12,Settings!$B$4*$E24),"")))</f>
        <v/>
      </c>
      <c r="H24" s="27" t="str">
        <f aca="false">IF($B24="","",IF(LEFT($F24,6)="Listed","Quantity 0: shown on the station as a reminder, not weighed. Give it a weight to weigh it.",IF(LEFT($F24,7)="NEITHER","Cannot be weighed — split it, premix it, or raise the batch size",IF($G24&gt;Settings!$B$4*$E24+0.0001,"Held to the scale's resolution, not "&amp;TEXT(Settings!$B$4,"0%"),""))))</f>
        <v/>
      </c>
    </row>
    <row r="25" customFormat="false" ht="15" hidden="false" customHeight="false" outlineLevel="0" collapsed="false">
      <c r="A25" s="21" t="str">
        <f aca="false">IF($B25="","",17)</f>
        <v/>
      </c>
      <c r="B25" s="22"/>
      <c r="C25" s="23"/>
      <c r="D25" s="24" t="str">
        <f aca="false">IF($B25="","",$C25/1000)</f>
        <v/>
      </c>
      <c r="E25" s="25" t="str">
        <f aca="false">IF($B25="","",$D25*$C$4)</f>
        <v/>
      </c>
      <c r="F25" s="26" t="str">
        <f aca="false">IF($B25="","",IF($C25=0,"Listed — not weighed",IF($E25&lt;0,"NEITHER — negative weight",IF($E25&gt;=Settings!$B$19,Settings!$B$6,IF($E25&gt;Settings!$B$14,"NEITHER — over bench capacity",IF($E25&gt;=2*Settings!$B$12,Settings!$B$11,"NEITHER — under bench resolution"))))))</f>
        <v/>
      </c>
      <c r="G25" s="25" t="str">
        <f aca="false">IF($B25="","",IF($F25=Settings!$B$6,MAX(2*Settings!$B$7,Settings!$B$4*$E25),IF($F25=Settings!$B$11,MAX(2*Settings!$B$12,Settings!$B$4*$E25),"")))</f>
        <v/>
      </c>
      <c r="H25" s="27" t="str">
        <f aca="false">IF($B25="","",IF(LEFT($F25,6)="Listed","Quantity 0: shown on the station as a reminder, not weighed. Give it a weight to weigh it.",IF(LEFT($F25,7)="NEITHER","Cannot be weighed — split it, premix it, or raise the batch size",IF($G25&gt;Settings!$B$4*$E25+0.0001,"Held to the scale's resolution, not "&amp;TEXT(Settings!$B$4,"0%"),""))))</f>
        <v/>
      </c>
    </row>
    <row r="26" customFormat="false" ht="15" hidden="false" customHeight="false" outlineLevel="0" collapsed="false">
      <c r="A26" s="21" t="str">
        <f aca="false">IF($B26="","",18)</f>
        <v/>
      </c>
      <c r="B26" s="22"/>
      <c r="C26" s="23"/>
      <c r="D26" s="24" t="str">
        <f aca="false">IF($B26="","",$C26/1000)</f>
        <v/>
      </c>
      <c r="E26" s="25" t="str">
        <f aca="false">IF($B26="","",$D26*$C$4)</f>
        <v/>
      </c>
      <c r="F26" s="26" t="str">
        <f aca="false">IF($B26="","",IF($C26=0,"Listed — not weighed",IF($E26&lt;0,"NEITHER — negative weight",IF($E26&gt;=Settings!$B$19,Settings!$B$6,IF($E26&gt;Settings!$B$14,"NEITHER — over bench capacity",IF($E26&gt;=2*Settings!$B$12,Settings!$B$11,"NEITHER — under bench resolution"))))))</f>
        <v/>
      </c>
      <c r="G26" s="25" t="str">
        <f aca="false">IF($B26="","",IF($F26=Settings!$B$6,MAX(2*Settings!$B$7,Settings!$B$4*$E26),IF($F26=Settings!$B$11,MAX(2*Settings!$B$12,Settings!$B$4*$E26),"")))</f>
        <v/>
      </c>
      <c r="H26" s="27" t="str">
        <f aca="false">IF($B26="","",IF(LEFT($F26,6)="Listed","Quantity 0: shown on the station as a reminder, not weighed. Give it a weight to weigh it.",IF(LEFT($F26,7)="NEITHER","Cannot be weighed — split it, premix it, or raise the batch size",IF($G26&gt;Settings!$B$4*$E26+0.0001,"Held to the scale's resolution, not "&amp;TEXT(Settings!$B$4,"0%"),""))))</f>
        <v/>
      </c>
    </row>
    <row r="27" customFormat="false" ht="15" hidden="false" customHeight="false" outlineLevel="0" collapsed="false">
      <c r="A27" s="21" t="str">
        <f aca="false">IF($B27="","",19)</f>
        <v/>
      </c>
      <c r="B27" s="22"/>
      <c r="C27" s="23"/>
      <c r="D27" s="24" t="str">
        <f aca="false">IF($B27="","",$C27/1000)</f>
        <v/>
      </c>
      <c r="E27" s="25" t="str">
        <f aca="false">IF($B27="","",$D27*$C$4)</f>
        <v/>
      </c>
      <c r="F27" s="26" t="str">
        <f aca="false">IF($B27="","",IF($C27=0,"Listed — not weighed",IF($E27&lt;0,"NEITHER — negative weight",IF($E27&gt;=Settings!$B$19,Settings!$B$6,IF($E27&gt;Settings!$B$14,"NEITHER — over bench capacity",IF($E27&gt;=2*Settings!$B$12,Settings!$B$11,"NEITHER — under bench resolution"))))))</f>
        <v/>
      </c>
      <c r="G27" s="25" t="str">
        <f aca="false">IF($B27="","",IF($F27=Settings!$B$6,MAX(2*Settings!$B$7,Settings!$B$4*$E27),IF($F27=Settings!$B$11,MAX(2*Settings!$B$12,Settings!$B$4*$E27),"")))</f>
        <v/>
      </c>
      <c r="H27" s="27" t="str">
        <f aca="false">IF($B27="","",IF(LEFT($F27,6)="Listed","Quantity 0: shown on the station as a reminder, not weighed. Give it a weight to weigh it.",IF(LEFT($F27,7)="NEITHER","Cannot be weighed — split it, premix it, or raise the batch size",IF($G27&gt;Settings!$B$4*$E27+0.0001,"Held to the scale's resolution, not "&amp;TEXT(Settings!$B$4,"0%"),""))))</f>
        <v/>
      </c>
    </row>
    <row r="28" customFormat="false" ht="15" hidden="false" customHeight="false" outlineLevel="0" collapsed="false">
      <c r="A28" s="21" t="str">
        <f aca="false">IF($B28="","",20)</f>
        <v/>
      </c>
      <c r="B28" s="22"/>
      <c r="C28" s="23"/>
      <c r="D28" s="24" t="str">
        <f aca="false">IF($B28="","",$C28/1000)</f>
        <v/>
      </c>
      <c r="E28" s="25" t="str">
        <f aca="false">IF($B28="","",$D28*$C$4)</f>
        <v/>
      </c>
      <c r="F28" s="26" t="str">
        <f aca="false">IF($B28="","",IF($C28=0,"Listed — not weighed",IF($E28&lt;0,"NEITHER — negative weight",IF($E28&gt;=Settings!$B$19,Settings!$B$6,IF($E28&gt;Settings!$B$14,"NEITHER — over bench capacity",IF($E28&gt;=2*Settings!$B$12,Settings!$B$11,"NEITHER — under bench resolution"))))))</f>
        <v/>
      </c>
      <c r="G28" s="25" t="str">
        <f aca="false">IF($B28="","",IF($F28=Settings!$B$6,MAX(2*Settings!$B$7,Settings!$B$4*$E28),IF($F28=Settings!$B$11,MAX(2*Settings!$B$12,Settings!$B$4*$E28),"")))</f>
        <v/>
      </c>
      <c r="H28" s="27" t="str">
        <f aca="false">IF($B28="","",IF(LEFT($F28,6)="Listed","Quantity 0: shown on the station as a reminder, not weighed. Give it a weight to weigh it.",IF(LEFT($F28,7)="NEITHER","Cannot be weighed — split it, premix it, or raise the batch size",IF($G28&gt;Settings!$B$4*$E28+0.0001,"Held to the scale's resolution, not "&amp;TEXT(Settings!$B$4,"0%"),""))))</f>
        <v/>
      </c>
    </row>
    <row r="29" customFormat="false" ht="15" hidden="false" customHeight="false" outlineLevel="0" collapsed="false">
      <c r="A29" s="21" t="str">
        <f aca="false">IF($B29="","",21)</f>
        <v/>
      </c>
      <c r="B29" s="22"/>
      <c r="C29" s="23"/>
      <c r="D29" s="24" t="str">
        <f aca="false">IF($B29="","",$C29/1000)</f>
        <v/>
      </c>
      <c r="E29" s="25" t="str">
        <f aca="false">IF($B29="","",$D29*$C$4)</f>
        <v/>
      </c>
      <c r="F29" s="26" t="str">
        <f aca="false">IF($B29="","",IF($C29=0,"Listed — not weighed",IF($E29&lt;0,"NEITHER — negative weight",IF($E29&gt;=Settings!$B$19,Settings!$B$6,IF($E29&gt;Settings!$B$14,"NEITHER — over bench capacity",IF($E29&gt;=2*Settings!$B$12,Settings!$B$11,"NEITHER — under bench resolution"))))))</f>
        <v/>
      </c>
      <c r="G29" s="25" t="str">
        <f aca="false">IF($B29="","",IF($F29=Settings!$B$6,MAX(2*Settings!$B$7,Settings!$B$4*$E29),IF($F29=Settings!$B$11,MAX(2*Settings!$B$12,Settings!$B$4*$E29),"")))</f>
        <v/>
      </c>
      <c r="H29" s="27" t="str">
        <f aca="false">IF($B29="","",IF(LEFT($F29,6)="Listed","Quantity 0: shown on the station as a reminder, not weighed. Give it a weight to weigh it.",IF(LEFT($F29,7)="NEITHER","Cannot be weighed — split it, premix it, or raise the batch size",IF($G29&gt;Settings!$B$4*$E29+0.0001,"Held to the scale's resolution, not "&amp;TEXT(Settings!$B$4,"0%"),""))))</f>
        <v/>
      </c>
    </row>
    <row r="30" customFormat="false" ht="15" hidden="false" customHeight="false" outlineLevel="0" collapsed="false">
      <c r="A30" s="21" t="str">
        <f aca="false">IF($B30="","",22)</f>
        <v/>
      </c>
      <c r="B30" s="22"/>
      <c r="C30" s="23"/>
      <c r="D30" s="24" t="str">
        <f aca="false">IF($B30="","",$C30/1000)</f>
        <v/>
      </c>
      <c r="E30" s="25" t="str">
        <f aca="false">IF($B30="","",$D30*$C$4)</f>
        <v/>
      </c>
      <c r="F30" s="26" t="str">
        <f aca="false">IF($B30="","",IF($C30=0,"Listed — not weighed",IF($E30&lt;0,"NEITHER — negative weight",IF($E30&gt;=Settings!$B$19,Settings!$B$6,IF($E30&gt;Settings!$B$14,"NEITHER — over bench capacity",IF($E30&gt;=2*Settings!$B$12,Settings!$B$11,"NEITHER — under bench resolution"))))))</f>
        <v/>
      </c>
      <c r="G30" s="25" t="str">
        <f aca="false">IF($B30="","",IF($F30=Settings!$B$6,MAX(2*Settings!$B$7,Settings!$B$4*$E30),IF($F30=Settings!$B$11,MAX(2*Settings!$B$12,Settings!$B$4*$E30),"")))</f>
        <v/>
      </c>
      <c r="H30" s="27" t="str">
        <f aca="false">IF($B30="","",IF(LEFT($F30,6)="Listed","Quantity 0: shown on the station as a reminder, not weighed. Give it a weight to weigh it.",IF(LEFT($F30,7)="NEITHER","Cannot be weighed — split it, premix it, or raise the batch size",IF($G30&gt;Settings!$B$4*$E30+0.0001,"Held to the scale's resolution, not "&amp;TEXT(Settings!$B$4,"0%"),""))))</f>
        <v/>
      </c>
    </row>
    <row r="31" customFormat="false" ht="15" hidden="false" customHeight="false" outlineLevel="0" collapsed="false">
      <c r="A31" s="21" t="str">
        <f aca="false">IF($B31="","",23)</f>
        <v/>
      </c>
      <c r="B31" s="22"/>
      <c r="C31" s="23"/>
      <c r="D31" s="24" t="str">
        <f aca="false">IF($B31="","",$C31/1000)</f>
        <v/>
      </c>
      <c r="E31" s="25" t="str">
        <f aca="false">IF($B31="","",$D31*$C$4)</f>
        <v/>
      </c>
      <c r="F31" s="26" t="str">
        <f aca="false">IF($B31="","",IF($C31=0,"Listed — not weighed",IF($E31&lt;0,"NEITHER — negative weight",IF($E31&gt;=Settings!$B$19,Settings!$B$6,IF($E31&gt;Settings!$B$14,"NEITHER — over bench capacity",IF($E31&gt;=2*Settings!$B$12,Settings!$B$11,"NEITHER — under bench resolution"))))))</f>
        <v/>
      </c>
      <c r="G31" s="25" t="str">
        <f aca="false">IF($B31="","",IF($F31=Settings!$B$6,MAX(2*Settings!$B$7,Settings!$B$4*$E31),IF($F31=Settings!$B$11,MAX(2*Settings!$B$12,Settings!$B$4*$E31),"")))</f>
        <v/>
      </c>
      <c r="H31" s="27" t="str">
        <f aca="false">IF($B31="","",IF(LEFT($F31,6)="Listed","Quantity 0: shown on the station as a reminder, not weighed. Give it a weight to weigh it.",IF(LEFT($F31,7)="NEITHER","Cannot be weighed — split it, premix it, or raise the batch size",IF($G31&gt;Settings!$B$4*$E31+0.0001,"Held to the scale's resolution, not "&amp;TEXT(Settings!$B$4,"0%"),""))))</f>
        <v/>
      </c>
    </row>
    <row r="32" customFormat="false" ht="15" hidden="false" customHeight="false" outlineLevel="0" collapsed="false">
      <c r="A32" s="21" t="str">
        <f aca="false">IF($B32="","",24)</f>
        <v/>
      </c>
      <c r="B32" s="22"/>
      <c r="C32" s="23"/>
      <c r="D32" s="24" t="str">
        <f aca="false">IF($B32="","",$C32/1000)</f>
        <v/>
      </c>
      <c r="E32" s="25" t="str">
        <f aca="false">IF($B32="","",$D32*$C$4)</f>
        <v/>
      </c>
      <c r="F32" s="26" t="str">
        <f aca="false">IF($B32="","",IF($C32=0,"Listed — not weighed",IF($E32&lt;0,"NEITHER — negative weight",IF($E32&gt;=Settings!$B$19,Settings!$B$6,IF($E32&gt;Settings!$B$14,"NEITHER — over bench capacity",IF($E32&gt;=2*Settings!$B$12,Settings!$B$11,"NEITHER — under bench resolution"))))))</f>
        <v/>
      </c>
      <c r="G32" s="25" t="str">
        <f aca="false">IF($B32="","",IF($F32=Settings!$B$6,MAX(2*Settings!$B$7,Settings!$B$4*$E32),IF($F32=Settings!$B$11,MAX(2*Settings!$B$12,Settings!$B$4*$E32),"")))</f>
        <v/>
      </c>
      <c r="H32" s="27" t="str">
        <f aca="false">IF($B32="","",IF(LEFT($F32,6)="Listed","Quantity 0: shown on the station as a reminder, not weighed. Give it a weight to weigh it.",IF(LEFT($F32,7)="NEITHER","Cannot be weighed — split it, premix it, or raise the batch size",IF($G32&gt;Settings!$B$4*$E32+0.0001,"Held to the scale's resolution, not "&amp;TEXT(Settings!$B$4,"0%"),""))))</f>
        <v/>
      </c>
    </row>
    <row r="33" customFormat="false" ht="15" hidden="false" customHeight="false" outlineLevel="0" collapsed="false">
      <c r="A33" s="21" t="str">
        <f aca="false">IF($B33="","",25)</f>
        <v/>
      </c>
      <c r="B33" s="22"/>
      <c r="C33" s="23"/>
      <c r="D33" s="24" t="str">
        <f aca="false">IF($B33="","",$C33/1000)</f>
        <v/>
      </c>
      <c r="E33" s="25" t="str">
        <f aca="false">IF($B33="","",$D33*$C$4)</f>
        <v/>
      </c>
      <c r="F33" s="26" t="str">
        <f aca="false">IF($B33="","",IF($C33=0,"Listed — not weighed",IF($E33&lt;0,"NEITHER — negative weight",IF($E33&gt;=Settings!$B$19,Settings!$B$6,IF($E33&gt;Settings!$B$14,"NEITHER — over bench capacity",IF($E33&gt;=2*Settings!$B$12,Settings!$B$11,"NEITHER — under bench resolution"))))))</f>
        <v/>
      </c>
      <c r="G33" s="25" t="str">
        <f aca="false">IF($B33="","",IF($F33=Settings!$B$6,MAX(2*Settings!$B$7,Settings!$B$4*$E33),IF($F33=Settings!$B$11,MAX(2*Settings!$B$12,Settings!$B$4*$E33),"")))</f>
        <v/>
      </c>
      <c r="H33" s="27" t="str">
        <f aca="false">IF($B33="","",IF(LEFT($F33,6)="Listed","Quantity 0: shown on the station as a reminder, not weighed. Give it a weight to weigh it.",IF(LEFT($F33,7)="NEITHER","Cannot be weighed — split it, premix it, or raise the batch size",IF($G33&gt;Settings!$B$4*$E33+0.0001,"Held to the scale's resolution, not "&amp;TEXT(Settings!$B$4,"0%"),""))))</f>
        <v/>
      </c>
    </row>
    <row r="34" customFormat="false" ht="15" hidden="false" customHeight="false" outlineLevel="0" collapsed="false">
      <c r="A34" s="21" t="str">
        <f aca="false">IF($B34="","",26)</f>
        <v/>
      </c>
      <c r="B34" s="22"/>
      <c r="C34" s="23"/>
      <c r="D34" s="24" t="str">
        <f aca="false">IF($B34="","",$C34/1000)</f>
        <v/>
      </c>
      <c r="E34" s="25" t="str">
        <f aca="false">IF($B34="","",$D34*$C$4)</f>
        <v/>
      </c>
      <c r="F34" s="26" t="str">
        <f aca="false">IF($B34="","",IF($C34=0,"Listed — not weighed",IF($E34&lt;0,"NEITHER — negative weight",IF($E34&gt;=Settings!$B$19,Settings!$B$6,IF($E34&gt;Settings!$B$14,"NEITHER — over bench capacity",IF($E34&gt;=2*Settings!$B$12,Settings!$B$11,"NEITHER — under bench resolution"))))))</f>
        <v/>
      </c>
      <c r="G34" s="25" t="str">
        <f aca="false">IF($B34="","",IF($F34=Settings!$B$6,MAX(2*Settings!$B$7,Settings!$B$4*$E34),IF($F34=Settings!$B$11,MAX(2*Settings!$B$12,Settings!$B$4*$E34),"")))</f>
        <v/>
      </c>
      <c r="H34" s="27" t="str">
        <f aca="false">IF($B34="","",IF(LEFT($F34,6)="Listed","Quantity 0: shown on the station as a reminder, not weighed. Give it a weight to weigh it.",IF(LEFT($F34,7)="NEITHER","Cannot be weighed — split it, premix it, or raise the batch size",IF($G34&gt;Settings!$B$4*$E34+0.0001,"Held to the scale's resolution, not "&amp;TEXT(Settings!$B$4,"0%"),""))))</f>
        <v/>
      </c>
    </row>
    <row r="35" customFormat="false" ht="15" hidden="false" customHeight="false" outlineLevel="0" collapsed="false">
      <c r="A35" s="21" t="str">
        <f aca="false">IF($B35="","",27)</f>
        <v/>
      </c>
      <c r="B35" s="22"/>
      <c r="C35" s="23"/>
      <c r="D35" s="24" t="str">
        <f aca="false">IF($B35="","",$C35/1000)</f>
        <v/>
      </c>
      <c r="E35" s="25" t="str">
        <f aca="false">IF($B35="","",$D35*$C$4)</f>
        <v/>
      </c>
      <c r="F35" s="26" t="str">
        <f aca="false">IF($B35="","",IF($C35=0,"Listed — not weighed",IF($E35&lt;0,"NEITHER — negative weight",IF($E35&gt;=Settings!$B$19,Settings!$B$6,IF($E35&gt;Settings!$B$14,"NEITHER — over bench capacity",IF($E35&gt;=2*Settings!$B$12,Settings!$B$11,"NEITHER — under bench resolution"))))))</f>
        <v/>
      </c>
      <c r="G35" s="25" t="str">
        <f aca="false">IF($B35="","",IF($F35=Settings!$B$6,MAX(2*Settings!$B$7,Settings!$B$4*$E35),IF($F35=Settings!$B$11,MAX(2*Settings!$B$12,Settings!$B$4*$E35),"")))</f>
        <v/>
      </c>
      <c r="H35" s="27" t="str">
        <f aca="false">IF($B35="","",IF(LEFT($F35,6)="Listed","Quantity 0: shown on the station as a reminder, not weighed. Give it a weight to weigh it.",IF(LEFT($F35,7)="NEITHER","Cannot be weighed — split it, premix it, or raise the batch size",IF($G35&gt;Settings!$B$4*$E35+0.0001,"Held to the scale's resolution, not "&amp;TEXT(Settings!$B$4,"0%"),""))))</f>
        <v/>
      </c>
    </row>
    <row r="36" customFormat="false" ht="15" hidden="false" customHeight="false" outlineLevel="0" collapsed="false">
      <c r="A36" s="21" t="str">
        <f aca="false">IF($B36="","",28)</f>
        <v/>
      </c>
      <c r="B36" s="22"/>
      <c r="C36" s="23"/>
      <c r="D36" s="24" t="str">
        <f aca="false">IF($B36="","",$C36/1000)</f>
        <v/>
      </c>
      <c r="E36" s="25" t="str">
        <f aca="false">IF($B36="","",$D36*$C$4)</f>
        <v/>
      </c>
      <c r="F36" s="26" t="str">
        <f aca="false">IF($B36="","",IF($C36=0,"Listed — not weighed",IF($E36&lt;0,"NEITHER — negative weight",IF($E36&gt;=Settings!$B$19,Settings!$B$6,IF($E36&gt;Settings!$B$14,"NEITHER — over bench capacity",IF($E36&gt;=2*Settings!$B$12,Settings!$B$11,"NEITHER — under bench resolution"))))))</f>
        <v/>
      </c>
      <c r="G36" s="25" t="str">
        <f aca="false">IF($B36="","",IF($F36=Settings!$B$6,MAX(2*Settings!$B$7,Settings!$B$4*$E36),IF($F36=Settings!$B$11,MAX(2*Settings!$B$12,Settings!$B$4*$E36),"")))</f>
        <v/>
      </c>
      <c r="H36" s="27" t="str">
        <f aca="false">IF($B36="","",IF(LEFT($F36,6)="Listed","Quantity 0: shown on the station as a reminder, not weighed. Give it a weight to weigh it.",IF(LEFT($F36,7)="NEITHER","Cannot be weighed — split it, premix it, or raise the batch size",IF($G36&gt;Settings!$B$4*$E36+0.0001,"Held to the scale's resolution, not "&amp;TEXT(Settings!$B$4,"0%"),""))))</f>
        <v/>
      </c>
    </row>
    <row r="37" customFormat="false" ht="15" hidden="false" customHeight="false" outlineLevel="0" collapsed="false">
      <c r="A37" s="21" t="str">
        <f aca="false">IF($B37="","",29)</f>
        <v/>
      </c>
      <c r="B37" s="22"/>
      <c r="C37" s="23"/>
      <c r="D37" s="24" t="str">
        <f aca="false">IF($B37="","",$C37/1000)</f>
        <v/>
      </c>
      <c r="E37" s="25" t="str">
        <f aca="false">IF($B37="","",$D37*$C$4)</f>
        <v/>
      </c>
      <c r="F37" s="26" t="str">
        <f aca="false">IF($B37="","",IF($C37=0,"Listed — not weighed",IF($E37&lt;0,"NEITHER — negative weight",IF($E37&gt;=Settings!$B$19,Settings!$B$6,IF($E37&gt;Settings!$B$14,"NEITHER — over bench capacity",IF($E37&gt;=2*Settings!$B$12,Settings!$B$11,"NEITHER — under bench resolution"))))))</f>
        <v/>
      </c>
      <c r="G37" s="25" t="str">
        <f aca="false">IF($B37="","",IF($F37=Settings!$B$6,MAX(2*Settings!$B$7,Settings!$B$4*$E37),IF($F37=Settings!$B$11,MAX(2*Settings!$B$12,Settings!$B$4*$E37),"")))</f>
        <v/>
      </c>
      <c r="H37" s="27" t="str">
        <f aca="false">IF($B37="","",IF(LEFT($F37,6)="Listed","Quantity 0: shown on the station as a reminder, not weighed. Give it a weight to weigh it.",IF(LEFT($F37,7)="NEITHER","Cannot be weighed — split it, premix it, or raise the batch size",IF($G37&gt;Settings!$B$4*$E37+0.0001,"Held to the scale's resolution, not "&amp;TEXT(Settings!$B$4,"0%"),""))))</f>
        <v/>
      </c>
    </row>
    <row r="38" customFormat="false" ht="15" hidden="false" customHeight="false" outlineLevel="0" collapsed="false">
      <c r="A38" s="21" t="str">
        <f aca="false">IF($B38="","",30)</f>
        <v/>
      </c>
      <c r="B38" s="22"/>
      <c r="C38" s="23"/>
      <c r="D38" s="24" t="str">
        <f aca="false">IF($B38="","",$C38/1000)</f>
        <v/>
      </c>
      <c r="E38" s="25" t="str">
        <f aca="false">IF($B38="","",$D38*$C$4)</f>
        <v/>
      </c>
      <c r="F38" s="26" t="str">
        <f aca="false">IF($B38="","",IF($C38=0,"Listed — not weighed",IF($E38&lt;0,"NEITHER — negative weight",IF($E38&gt;=Settings!$B$19,Settings!$B$6,IF($E38&gt;Settings!$B$14,"NEITHER — over bench capacity",IF($E38&gt;=2*Settings!$B$12,Settings!$B$11,"NEITHER — under bench resolution"))))))</f>
        <v/>
      </c>
      <c r="G38" s="25" t="str">
        <f aca="false">IF($B38="","",IF($F38=Settings!$B$6,MAX(2*Settings!$B$7,Settings!$B$4*$E38),IF($F38=Settings!$B$11,MAX(2*Settings!$B$12,Settings!$B$4*$E38),"")))</f>
        <v/>
      </c>
      <c r="H38" s="27" t="str">
        <f aca="false">IF($B38="","",IF(LEFT($F38,6)="Listed","Quantity 0: shown on the station as a reminder, not weighed. Give it a weight to weigh it.",IF(LEFT($F38,7)="NEITHER","Cannot be weighed — split it, premix it, or raise the batch size",IF($G38&gt;Settings!$B$4*$E38+0.0001,"Held to the scale's resolution, not "&amp;TEXT(Settings!$B$4,"0%"),""))))</f>
        <v/>
      </c>
    </row>
    <row r="39" customFormat="false" ht="15" hidden="false" customHeight="false" outlineLevel="0" collapsed="false">
      <c r="A39" s="21" t="str">
        <f aca="false">IF($B39="","",31)</f>
        <v/>
      </c>
      <c r="B39" s="22"/>
      <c r="C39" s="23"/>
      <c r="D39" s="24" t="str">
        <f aca="false">IF($B39="","",$C39/1000)</f>
        <v/>
      </c>
      <c r="E39" s="25" t="str">
        <f aca="false">IF($B39="","",$D39*$C$4)</f>
        <v/>
      </c>
      <c r="F39" s="26" t="str">
        <f aca="false">IF($B39="","",IF($C39=0,"Listed — not weighed",IF($E39&lt;0,"NEITHER — negative weight",IF($E39&gt;=Settings!$B$19,Settings!$B$6,IF($E39&gt;Settings!$B$14,"NEITHER — over bench capacity",IF($E39&gt;=2*Settings!$B$12,Settings!$B$11,"NEITHER — under bench resolution"))))))</f>
        <v/>
      </c>
      <c r="G39" s="25" t="str">
        <f aca="false">IF($B39="","",IF($F39=Settings!$B$6,MAX(2*Settings!$B$7,Settings!$B$4*$E39),IF($F39=Settings!$B$11,MAX(2*Settings!$B$12,Settings!$B$4*$E39),"")))</f>
        <v/>
      </c>
      <c r="H39" s="27" t="str">
        <f aca="false">IF($B39="","",IF(LEFT($F39,6)="Listed","Quantity 0: shown on the station as a reminder, not weighed. Give it a weight to weigh it.",IF(LEFT($F39,7)="NEITHER","Cannot be weighed — split it, premix it, or raise the batch size",IF($G39&gt;Settings!$B$4*$E39+0.0001,"Held to the scale's resolution, not "&amp;TEXT(Settings!$B$4,"0%"),""))))</f>
        <v/>
      </c>
    </row>
    <row r="40" customFormat="false" ht="15" hidden="false" customHeight="false" outlineLevel="0" collapsed="false">
      <c r="A40" s="21" t="str">
        <f aca="false">IF($B40="","",32)</f>
        <v/>
      </c>
      <c r="B40" s="22"/>
      <c r="C40" s="23"/>
      <c r="D40" s="24" t="str">
        <f aca="false">IF($B40="","",$C40/1000)</f>
        <v/>
      </c>
      <c r="E40" s="25" t="str">
        <f aca="false">IF($B40="","",$D40*$C$4)</f>
        <v/>
      </c>
      <c r="F40" s="26" t="str">
        <f aca="false">IF($B40="","",IF($C40=0,"Listed — not weighed",IF($E40&lt;0,"NEITHER — negative weight",IF($E40&gt;=Settings!$B$19,Settings!$B$6,IF($E40&gt;Settings!$B$14,"NEITHER — over bench capacity",IF($E40&gt;=2*Settings!$B$12,Settings!$B$11,"NEITHER — under bench resolution"))))))</f>
        <v/>
      </c>
      <c r="G40" s="25" t="str">
        <f aca="false">IF($B40="","",IF($F40=Settings!$B$6,MAX(2*Settings!$B$7,Settings!$B$4*$E40),IF($F40=Settings!$B$11,MAX(2*Settings!$B$12,Settings!$B$4*$E40),"")))</f>
        <v/>
      </c>
      <c r="H40" s="27" t="str">
        <f aca="false">IF($B40="","",IF(LEFT($F40,6)="Listed","Quantity 0: shown on the station as a reminder, not weighed. Give it a weight to weigh it.",IF(LEFT($F40,7)="NEITHER","Cannot be weighed — split it, premix it, or raise the batch size",IF($G40&gt;Settings!$B$4*$E40+0.0001,"Held to the scale's resolution, not "&amp;TEXT(Settings!$B$4,"0%"),""))))</f>
        <v/>
      </c>
    </row>
    <row r="41" customFormat="false" ht="15" hidden="false" customHeight="false" outlineLevel="0" collapsed="false">
      <c r="A41" s="21" t="str">
        <f aca="false">IF($B41="","",33)</f>
        <v/>
      </c>
      <c r="B41" s="22"/>
      <c r="C41" s="23"/>
      <c r="D41" s="24" t="str">
        <f aca="false">IF($B41="","",$C41/1000)</f>
        <v/>
      </c>
      <c r="E41" s="25" t="str">
        <f aca="false">IF($B41="","",$D41*$C$4)</f>
        <v/>
      </c>
      <c r="F41" s="26" t="str">
        <f aca="false">IF($B41="","",IF($C41=0,"Listed — not weighed",IF($E41&lt;0,"NEITHER — negative weight",IF($E41&gt;=Settings!$B$19,Settings!$B$6,IF($E41&gt;Settings!$B$14,"NEITHER — over bench capacity",IF($E41&gt;=2*Settings!$B$12,Settings!$B$11,"NEITHER — under bench resolution"))))))</f>
        <v/>
      </c>
      <c r="G41" s="25" t="str">
        <f aca="false">IF($B41="","",IF($F41=Settings!$B$6,MAX(2*Settings!$B$7,Settings!$B$4*$E41),IF($F41=Settings!$B$11,MAX(2*Settings!$B$12,Settings!$B$4*$E41),"")))</f>
        <v/>
      </c>
      <c r="H41" s="27" t="str">
        <f aca="false">IF($B41="","",IF(LEFT($F41,6)="Listed","Quantity 0: shown on the station as a reminder, not weighed. Give it a weight to weigh it.",IF(LEFT($F41,7)="NEITHER","Cannot be weighed — split it, premix it, or raise the batch size",IF($G41&gt;Settings!$B$4*$E41+0.0001,"Held to the scale's resolution, not "&amp;TEXT(Settings!$B$4,"0%"),""))))</f>
        <v/>
      </c>
    </row>
    <row r="42" customFormat="false" ht="15" hidden="false" customHeight="false" outlineLevel="0" collapsed="false">
      <c r="A42" s="21" t="str">
        <f aca="false">IF($B42="","",34)</f>
        <v/>
      </c>
      <c r="B42" s="22"/>
      <c r="C42" s="23"/>
      <c r="D42" s="24" t="str">
        <f aca="false">IF($B42="","",$C42/1000)</f>
        <v/>
      </c>
      <c r="E42" s="25" t="str">
        <f aca="false">IF($B42="","",$D42*$C$4)</f>
        <v/>
      </c>
      <c r="F42" s="26" t="str">
        <f aca="false">IF($B42="","",IF($C42=0,"Listed — not weighed",IF($E42&lt;0,"NEITHER — negative weight",IF($E42&gt;=Settings!$B$19,Settings!$B$6,IF($E42&gt;Settings!$B$14,"NEITHER — over bench capacity",IF($E42&gt;=2*Settings!$B$12,Settings!$B$11,"NEITHER — under bench resolution"))))))</f>
        <v/>
      </c>
      <c r="G42" s="25" t="str">
        <f aca="false">IF($B42="","",IF($F42=Settings!$B$6,MAX(2*Settings!$B$7,Settings!$B$4*$E42),IF($F42=Settings!$B$11,MAX(2*Settings!$B$12,Settings!$B$4*$E42),"")))</f>
        <v/>
      </c>
      <c r="H42" s="27" t="str">
        <f aca="false">IF($B42="","",IF(LEFT($F42,6)="Listed","Quantity 0: shown on the station as a reminder, not weighed. Give it a weight to weigh it.",IF(LEFT($F42,7)="NEITHER","Cannot be weighed — split it, premix it, or raise the batch size",IF($G42&gt;Settings!$B$4*$E42+0.0001,"Held to the scale's resolution, not "&amp;TEXT(Settings!$B$4,"0%"),""))))</f>
        <v/>
      </c>
    </row>
    <row r="43" customFormat="false" ht="15" hidden="false" customHeight="false" outlineLevel="0" collapsed="false">
      <c r="A43" s="21" t="str">
        <f aca="false">IF($B43="","",35)</f>
        <v/>
      </c>
      <c r="B43" s="22"/>
      <c r="C43" s="23"/>
      <c r="D43" s="24" t="str">
        <f aca="false">IF($B43="","",$C43/1000)</f>
        <v/>
      </c>
      <c r="E43" s="25" t="str">
        <f aca="false">IF($B43="","",$D43*$C$4)</f>
        <v/>
      </c>
      <c r="F43" s="26" t="str">
        <f aca="false">IF($B43="","",IF($C43=0,"Listed — not weighed",IF($E43&lt;0,"NEITHER — negative weight",IF($E43&gt;=Settings!$B$19,Settings!$B$6,IF($E43&gt;Settings!$B$14,"NEITHER — over bench capacity",IF($E43&gt;=2*Settings!$B$12,Settings!$B$11,"NEITHER — under bench resolution"))))))</f>
        <v/>
      </c>
      <c r="G43" s="25" t="str">
        <f aca="false">IF($B43="","",IF($F43=Settings!$B$6,MAX(2*Settings!$B$7,Settings!$B$4*$E43),IF($F43=Settings!$B$11,MAX(2*Settings!$B$12,Settings!$B$4*$E43),"")))</f>
        <v/>
      </c>
      <c r="H43" s="27" t="str">
        <f aca="false">IF($B43="","",IF(LEFT($F43,6)="Listed","Quantity 0: shown on the station as a reminder, not weighed. Give it a weight to weigh it.",IF(LEFT($F43,7)="NEITHER","Cannot be weighed — split it, premix it, or raise the batch size",IF($G43&gt;Settings!$B$4*$E43+0.0001,"Held to the scale's resolution, not "&amp;TEXT(Settings!$B$4,"0%"),""))))</f>
        <v/>
      </c>
    </row>
    <row r="44" customFormat="false" ht="15" hidden="false" customHeight="false" outlineLevel="0" collapsed="false">
      <c r="A44" s="21" t="str">
        <f aca="false">IF($B44="","",36)</f>
        <v/>
      </c>
      <c r="B44" s="22"/>
      <c r="C44" s="23"/>
      <c r="D44" s="24" t="str">
        <f aca="false">IF($B44="","",$C44/1000)</f>
        <v/>
      </c>
      <c r="E44" s="25" t="str">
        <f aca="false">IF($B44="","",$D44*$C$4)</f>
        <v/>
      </c>
      <c r="F44" s="26" t="str">
        <f aca="false">IF($B44="","",IF($C44=0,"Listed — not weighed",IF($E44&lt;0,"NEITHER — negative weight",IF($E44&gt;=Settings!$B$19,Settings!$B$6,IF($E44&gt;Settings!$B$14,"NEITHER — over bench capacity",IF($E44&gt;=2*Settings!$B$12,Settings!$B$11,"NEITHER — under bench resolution"))))))</f>
        <v/>
      </c>
      <c r="G44" s="25" t="str">
        <f aca="false">IF($B44="","",IF($F44=Settings!$B$6,MAX(2*Settings!$B$7,Settings!$B$4*$E44),IF($F44=Settings!$B$11,MAX(2*Settings!$B$12,Settings!$B$4*$E44),"")))</f>
        <v/>
      </c>
      <c r="H44" s="27" t="str">
        <f aca="false">IF($B44="","",IF(LEFT($F44,6)="Listed","Quantity 0: shown on the station as a reminder, not weighed. Give it a weight to weigh it.",IF(LEFT($F44,7)="NEITHER","Cannot be weighed — split it, premix it, or raise the batch size",IF($G44&gt;Settings!$B$4*$E44+0.0001,"Held to the scale's resolution, not "&amp;TEXT(Settings!$B$4,"0%"),""))))</f>
        <v/>
      </c>
    </row>
    <row r="45" customFormat="false" ht="15" hidden="false" customHeight="false" outlineLevel="0" collapsed="false">
      <c r="A45" s="21" t="str">
        <f aca="false">IF($B45="","",37)</f>
        <v/>
      </c>
      <c r="B45" s="22"/>
      <c r="C45" s="23"/>
      <c r="D45" s="24" t="str">
        <f aca="false">IF($B45="","",$C45/1000)</f>
        <v/>
      </c>
      <c r="E45" s="25" t="str">
        <f aca="false">IF($B45="","",$D45*$C$4)</f>
        <v/>
      </c>
      <c r="F45" s="26" t="str">
        <f aca="false">IF($B45="","",IF($C45=0,"Listed — not weighed",IF($E45&lt;0,"NEITHER — negative weight",IF($E45&gt;=Settings!$B$19,Settings!$B$6,IF($E45&gt;Settings!$B$14,"NEITHER — over bench capacity",IF($E45&gt;=2*Settings!$B$12,Settings!$B$11,"NEITHER — under bench resolution"))))))</f>
        <v/>
      </c>
      <c r="G45" s="25" t="str">
        <f aca="false">IF($B45="","",IF($F45=Settings!$B$6,MAX(2*Settings!$B$7,Settings!$B$4*$E45),IF($F45=Settings!$B$11,MAX(2*Settings!$B$12,Settings!$B$4*$E45),"")))</f>
        <v/>
      </c>
      <c r="H45" s="27" t="str">
        <f aca="false">IF($B45="","",IF(LEFT($F45,6)="Listed","Quantity 0: shown on the station as a reminder, not weighed. Give it a weight to weigh it.",IF(LEFT($F45,7)="NEITHER","Cannot be weighed — split it, premix it, or raise the batch size",IF($G45&gt;Settings!$B$4*$E45+0.0001,"Held to the scale's resolution, not "&amp;TEXT(Settings!$B$4,"0%"),""))))</f>
        <v/>
      </c>
    </row>
    <row r="46" customFormat="false" ht="15" hidden="false" customHeight="false" outlineLevel="0" collapsed="false">
      <c r="A46" s="21" t="str">
        <f aca="false">IF($B46="","",38)</f>
        <v/>
      </c>
      <c r="B46" s="22"/>
      <c r="C46" s="23"/>
      <c r="D46" s="24" t="str">
        <f aca="false">IF($B46="","",$C46/1000)</f>
        <v/>
      </c>
      <c r="E46" s="25" t="str">
        <f aca="false">IF($B46="","",$D46*$C$4)</f>
        <v/>
      </c>
      <c r="F46" s="26" t="str">
        <f aca="false">IF($B46="","",IF($C46=0,"Listed — not weighed",IF($E46&lt;0,"NEITHER — negative weight",IF($E46&gt;=Settings!$B$19,Settings!$B$6,IF($E46&gt;Settings!$B$14,"NEITHER — over bench capacity",IF($E46&gt;=2*Settings!$B$12,Settings!$B$11,"NEITHER — under bench resolution"))))))</f>
        <v/>
      </c>
      <c r="G46" s="25" t="str">
        <f aca="false">IF($B46="","",IF($F46=Settings!$B$6,MAX(2*Settings!$B$7,Settings!$B$4*$E46),IF($F46=Settings!$B$11,MAX(2*Settings!$B$12,Settings!$B$4*$E46),"")))</f>
        <v/>
      </c>
      <c r="H46" s="27" t="str">
        <f aca="false">IF($B46="","",IF(LEFT($F46,6)="Listed","Quantity 0: shown on the station as a reminder, not weighed. Give it a weight to weigh it.",IF(LEFT($F46,7)="NEITHER","Cannot be weighed — split it, premix it, or raise the batch size",IF($G46&gt;Settings!$B$4*$E46+0.0001,"Held to the scale's resolution, not "&amp;TEXT(Settings!$B$4,"0%"),""))))</f>
        <v/>
      </c>
    </row>
    <row r="47" customFormat="false" ht="15" hidden="false" customHeight="false" outlineLevel="0" collapsed="false">
      <c r="A47" s="21" t="str">
        <f aca="false">IF($B47="","",39)</f>
        <v/>
      </c>
      <c r="B47" s="22"/>
      <c r="C47" s="23"/>
      <c r="D47" s="24" t="str">
        <f aca="false">IF($B47="","",$C47/1000)</f>
        <v/>
      </c>
      <c r="E47" s="25" t="str">
        <f aca="false">IF($B47="","",$D47*$C$4)</f>
        <v/>
      </c>
      <c r="F47" s="26" t="str">
        <f aca="false">IF($B47="","",IF($C47=0,"Listed — not weighed",IF($E47&lt;0,"NEITHER — negative weight",IF($E47&gt;=Settings!$B$19,Settings!$B$6,IF($E47&gt;Settings!$B$14,"NEITHER — over bench capacity",IF($E47&gt;=2*Settings!$B$12,Settings!$B$11,"NEITHER — under bench resolution"))))))</f>
        <v/>
      </c>
      <c r="G47" s="25" t="str">
        <f aca="false">IF($B47="","",IF($F47=Settings!$B$6,MAX(2*Settings!$B$7,Settings!$B$4*$E47),IF($F47=Settings!$B$11,MAX(2*Settings!$B$12,Settings!$B$4*$E47),"")))</f>
        <v/>
      </c>
      <c r="H47" s="27" t="str">
        <f aca="false">IF($B47="","",IF(LEFT($F47,6)="Listed","Quantity 0: shown on the station as a reminder, not weighed. Give it a weight to weigh it.",IF(LEFT($F47,7)="NEITHER","Cannot be weighed — split it, premix it, or raise the batch size",IF($G47&gt;Settings!$B$4*$E47+0.0001,"Held to the scale's resolution, not "&amp;TEXT(Settings!$B$4,"0%"),""))))</f>
        <v/>
      </c>
    </row>
    <row r="48" customFormat="false" ht="15" hidden="false" customHeight="false" outlineLevel="0" collapsed="false">
      <c r="A48" s="21" t="str">
        <f aca="false">IF($B48="","",40)</f>
        <v/>
      </c>
      <c r="B48" s="22"/>
      <c r="C48" s="23"/>
      <c r="D48" s="24" t="str">
        <f aca="false">IF($B48="","",$C48/1000)</f>
        <v/>
      </c>
      <c r="E48" s="25" t="str">
        <f aca="false">IF($B48="","",$D48*$C$4)</f>
        <v/>
      </c>
      <c r="F48" s="26" t="str">
        <f aca="false">IF($B48="","",IF($C48=0,"Listed — not weighed",IF($E48&lt;0,"NEITHER — negative weight",IF($E48&gt;=Settings!$B$19,Settings!$B$6,IF($E48&gt;Settings!$B$14,"NEITHER — over bench capacity",IF($E48&gt;=2*Settings!$B$12,Settings!$B$11,"NEITHER — under bench resolution"))))))</f>
        <v/>
      </c>
      <c r="G48" s="25" t="str">
        <f aca="false">IF($B48="","",IF($F48=Settings!$B$6,MAX(2*Settings!$B$7,Settings!$B$4*$E48),IF($F48=Settings!$B$11,MAX(2*Settings!$B$12,Settings!$B$4*$E48),"")))</f>
        <v/>
      </c>
      <c r="H48" s="27" t="str">
        <f aca="false">IF($B48="","",IF(LEFT($F48,6)="Listed","Quantity 0: shown on the station as a reminder, not weighed. Give it a weight to weigh it.",IF(LEFT($F48,7)="NEITHER","Cannot be weighed — split it, premix it, or raise the batch size",IF($G48&gt;Settings!$B$4*$E48+0.0001,"Held to the scale's resolution, not "&amp;TEXT(Settings!$B$4,"0%"),""))))</f>
        <v/>
      </c>
    </row>
    <row r="50" customFormat="false" ht="15" hidden="false" customHeight="false" outlineLevel="0" collapsed="false">
      <c r="B50" s="17" t="s">
        <v>67</v>
      </c>
      <c r="C50" s="28" t="n">
        <f aca="false">SUM(C9:C48)</f>
        <v>583.759</v>
      </c>
      <c r="D50" s="29" t="n">
        <f aca="false">SUM(D9:D48)</f>
        <v>0.583759</v>
      </c>
      <c r="E50" s="28" t="n">
        <f aca="false">SUM(E9:E48)</f>
        <v>1868.0288</v>
      </c>
    </row>
    <row r="51" customFormat="false" ht="15" hidden="false" customHeight="false" outlineLevel="0" collapsed="false">
      <c r="B51" s="5" t="s">
        <v>68</v>
      </c>
      <c r="E51" s="30" t="n">
        <f aca="false">$C$4+E50</f>
        <v>5068.0288</v>
      </c>
    </row>
    <row r="53" customFormat="false" ht="15" hidden="false" customHeight="false" outlineLevel="0" collapsed="false">
      <c r="B53" s="15" t="str">
        <f aca="false">IF(COUNTIF($F$9:$F$48,"NEITHER*")=0,"All ingredients can be weighed.","WARNING: "&amp;COUNTIF($F$9:$F$48,"NEITHER*")&amp;" ingredient(s) cannot be weighed on either scale — see the Note column.")</f>
        <v>All ingredients can be weighed.</v>
      </c>
      <c r="C53" s="15"/>
      <c r="D53" s="15"/>
      <c r="E53" s="15"/>
      <c r="F53" s="15"/>
      <c r="G53" s="15"/>
      <c r="H53" s="15"/>
    </row>
    <row r="55" customFormat="false" ht="30" hidden="false" customHeight="true" outlineLevel="0" collapsed="false">
      <c r="B55" s="31" t="s">
        <v>86</v>
      </c>
      <c r="C55" s="31"/>
      <c r="D55" s="31"/>
      <c r="E55" s="31"/>
      <c r="F55" s="31"/>
      <c r="G55" s="31"/>
      <c r="H55" s="31"/>
    </row>
  </sheetData>
  <mergeCells count="16">
    <mergeCell ref="A1:H1"/>
    <mergeCell ref="A2:H2"/>
    <mergeCell ref="A3:B3"/>
    <mergeCell ref="D3:H3"/>
    <mergeCell ref="A4:B4"/>
    <mergeCell ref="D4:H4"/>
    <mergeCell ref="A5:B5"/>
    <mergeCell ref="D5:E5"/>
    <mergeCell ref="F5:H5"/>
    <mergeCell ref="A6:B6"/>
    <mergeCell ref="D6:E6"/>
    <mergeCell ref="F6:H6"/>
    <mergeCell ref="A7:B7"/>
    <mergeCell ref="D7:H7"/>
    <mergeCell ref="B53:H53"/>
    <mergeCell ref="B55:H55"/>
  </mergeCells>
  <conditionalFormatting sqref="B53:H53">
    <cfRule type="expression" priority="2" aboveAverage="0" equalAverage="0" bottom="0" percent="0" rank="0" text="" dxfId="0">
      <formula>LEFT($B$53,5)="ERROR"</formula>
    </cfRule>
  </conditionalFormatting>
  <conditionalFormatting sqref="A9:H48">
    <cfRule type="expression" priority="3" aboveAverage="0" equalAverage="0" bottom="0" percent="0" rank="0" text="" dxfId="1">
      <formula>LEFT($F9,7)="NEITHER"</formula>
    </cfRule>
    <cfRule type="expression" priority="4" aboveAverage="0" equalAverage="0" bottom="0" percent="0" rank="0" text="" dxfId="2">
      <formula>AND($B9&lt;&gt;"",$H9&lt;&gt;"")</formula>
    </cfRule>
  </conditionalFormatting>
  <dataValidations count="1">
    <dataValidation allowBlank="true" errorStyle="stop" operator="between" showDropDown="false" showErrorMessage="false" showInputMessage="false" sqref="B9:B48" type="list">
      <formula1>IngredientList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6"/>
    <col collapsed="false" customWidth="true" hidden="false" outlineLevel="0" max="4" min="4" style="0" width="11"/>
    <col collapsed="false" customWidth="true" hidden="false" outlineLevel="0" max="5" min="5" style="0" width="16"/>
    <col collapsed="false" customWidth="true" hidden="false" outlineLevel="0" max="6" min="6" style="0" width="18"/>
    <col collapsed="false" customWidth="true" hidden="false" outlineLevel="0" max="7" min="7" style="0" width="13"/>
    <col collapsed="false" customWidth="true" hidden="false" outlineLevel="0" max="8" min="8" style="0" width="46"/>
  </cols>
  <sheetData>
    <row r="1" customFormat="false" ht="17.35" hidden="false" customHeight="false" outlineLevel="0" collapsed="false">
      <c r="A1" s="1" t="s">
        <v>115</v>
      </c>
      <c r="B1" s="1"/>
      <c r="C1" s="1"/>
      <c r="D1" s="1"/>
      <c r="E1" s="1"/>
      <c r="F1" s="1"/>
      <c r="G1" s="1"/>
      <c r="H1" s="1"/>
    </row>
    <row r="2" customFormat="false" ht="15" hidden="false" customHeight="false" outlineLevel="0" collapsed="false">
      <c r="A2" s="2" t="s">
        <v>44</v>
      </c>
      <c r="B2" s="2"/>
      <c r="C2" s="2"/>
      <c r="D2" s="2"/>
      <c r="E2" s="2"/>
      <c r="F2" s="2"/>
      <c r="G2" s="2"/>
      <c r="H2" s="2"/>
    </row>
    <row r="3" customFormat="false" ht="15" hidden="false" customHeight="false" outlineLevel="0" collapsed="false">
      <c r="A3" s="16" t="s">
        <v>45</v>
      </c>
      <c r="B3" s="16"/>
      <c r="C3" s="17" t="s">
        <v>46</v>
      </c>
      <c r="D3" s="2" t="s">
        <v>47</v>
      </c>
      <c r="E3" s="2"/>
      <c r="F3" s="2"/>
      <c r="G3" s="2"/>
      <c r="H3" s="2"/>
    </row>
    <row r="4" customFormat="false" ht="15" hidden="false" customHeight="false" outlineLevel="0" collapsed="false">
      <c r="A4" s="16" t="s">
        <v>48</v>
      </c>
      <c r="B4" s="16"/>
      <c r="C4" s="18" t="n">
        <v>3200</v>
      </c>
      <c r="D4" s="2" t="s">
        <v>49</v>
      </c>
      <c r="E4" s="2"/>
      <c r="F4" s="2"/>
      <c r="G4" s="2"/>
      <c r="H4" s="2"/>
    </row>
    <row r="5" customFormat="false" ht="15" hidden="false" customHeight="false" outlineLevel="0" collapsed="false">
      <c r="A5" s="16" t="s">
        <v>50</v>
      </c>
      <c r="B5" s="16"/>
      <c r="C5" s="8" t="s">
        <v>116</v>
      </c>
      <c r="D5" s="16" t="s">
        <v>52</v>
      </c>
      <c r="E5" s="16"/>
      <c r="F5" s="19" t="s">
        <v>53</v>
      </c>
      <c r="G5" s="19"/>
      <c r="H5" s="19"/>
    </row>
    <row r="6" customFormat="false" ht="15" hidden="false" customHeight="false" outlineLevel="0" collapsed="false">
      <c r="A6" s="16" t="s">
        <v>54</v>
      </c>
      <c r="B6" s="16"/>
      <c r="C6" s="8"/>
      <c r="D6" s="16" t="s">
        <v>55</v>
      </c>
      <c r="E6" s="16"/>
      <c r="F6" s="19"/>
      <c r="G6" s="19"/>
      <c r="H6" s="19"/>
    </row>
    <row r="7" customFormat="false" ht="15" hidden="false" customHeight="false" outlineLevel="0" collapsed="false">
      <c r="A7" s="16" t="s">
        <v>56</v>
      </c>
      <c r="B7" s="16"/>
      <c r="C7" s="8"/>
      <c r="D7" s="2" t="s">
        <v>57</v>
      </c>
      <c r="E7" s="2"/>
      <c r="F7" s="2"/>
      <c r="G7" s="2"/>
      <c r="H7" s="2"/>
    </row>
    <row r="8" customFormat="false" ht="23.85" hidden="false" customHeight="false" outlineLevel="0" collapsed="false">
      <c r="A8" s="20" t="s">
        <v>58</v>
      </c>
      <c r="B8" s="20" t="s">
        <v>59</v>
      </c>
      <c r="C8" s="20" t="s">
        <v>60</v>
      </c>
      <c r="D8" s="20" t="s">
        <v>61</v>
      </c>
      <c r="E8" s="20" t="s">
        <v>62</v>
      </c>
      <c r="F8" s="20" t="s">
        <v>63</v>
      </c>
      <c r="G8" s="20" t="s">
        <v>64</v>
      </c>
      <c r="H8" s="20" t="s">
        <v>65</v>
      </c>
    </row>
    <row r="9" customFormat="false" ht="15" hidden="false" customHeight="false" outlineLevel="0" collapsed="false">
      <c r="A9" s="21" t="n">
        <f aca="false">IF($B9="","",1)</f>
        <v>1</v>
      </c>
      <c r="B9" s="22" t="s">
        <v>104</v>
      </c>
      <c r="C9" s="23" t="n">
        <v>150.575</v>
      </c>
      <c r="D9" s="24" t="n">
        <f aca="false">IF($B9="","",$C9/1000)</f>
        <v>0.150575</v>
      </c>
      <c r="E9" s="25" t="n">
        <f aca="false">IF($B9="","",$D9*$C$4)</f>
        <v>481.84</v>
      </c>
      <c r="F9" s="26" t="str">
        <f aca="false">IF($B9="","",IF($C9=0,"Listed — not weighed",IF($E9&lt;0,"NEITHER — negative weight",IF($E9&gt;=Settings!$B$19,Settings!$B$6,IF($E9&gt;Settings!$B$14,"NEITHER — over bench capacity",IF($E9&gt;=2*Settings!$B$12,Settings!$B$11,"NEITHER — under bench resolution"))))))</f>
        <v>Main scale</v>
      </c>
      <c r="G9" s="25" t="n">
        <f aca="false">IF($B9="","",IF($F9=Settings!$B$6,MAX(2*Settings!$B$7,Settings!$B$4*$E9),IF($F9=Settings!$B$11,MAX(2*Settings!$B$12,Settings!$B$4*$E9),"")))</f>
        <v>9.6368</v>
      </c>
      <c r="H9" s="27" t="str">
        <f aca="false">IF($B9="","",IF(LEFT($F9,6)="Listed","Quantity 0: shown on the station as a reminder, not weighed. Give it a weight to weigh it.",IF(LEFT($F9,7)="NEITHER","Cannot be weighed — split it, premix it, or raise the batch size",IF($G9&gt;Settings!$B$4*$E9+0.0001,"Held to the scale's resolution, not "&amp;TEXT(Settings!$B$4,"0%"),""))))</f>
        <v/>
      </c>
    </row>
    <row r="10" customFormat="false" ht="15" hidden="false" customHeight="false" outlineLevel="0" collapsed="false">
      <c r="A10" s="21" t="n">
        <f aca="false">IF($B10="","",2)</f>
        <v>2</v>
      </c>
      <c r="B10" s="22" t="s">
        <v>105</v>
      </c>
      <c r="C10" s="23" t="n">
        <v>1.839</v>
      </c>
      <c r="D10" s="24" t="n">
        <f aca="false">IF($B10="","",$C10/1000)</f>
        <v>0.001839</v>
      </c>
      <c r="E10" s="25" t="n">
        <f aca="false">IF($B10="","",$D10*$C$4)</f>
        <v>5.8848</v>
      </c>
      <c r="F10" s="26" t="str">
        <f aca="false">IF($B10="","",IF($C10=0,"Listed — not weighed",IF($E10&lt;0,"NEITHER — negative weight",IF($E10&gt;=Settings!$B$19,Settings!$B$6,IF($E10&gt;Settings!$B$14,"NEITHER — over bench capacity",IF($E10&gt;=2*Settings!$B$12,Settings!$B$11,"NEITHER — under bench resolution"))))))</f>
        <v>Main scale</v>
      </c>
      <c r="G10" s="25" t="n">
        <f aca="false">IF($B10="","",IF($F10=Settings!$B$6,MAX(2*Settings!$B$7,Settings!$B$4*$E10),IF($F10=Settings!$B$11,MAX(2*Settings!$B$12,Settings!$B$4*$E10),"")))</f>
        <v>2</v>
      </c>
      <c r="H10" s="27" t="str">
        <f aca="false">IF($B10="","",IF(LEFT($F10,6)="Listed","Quantity 0: shown on the station as a reminder, not weighed. Give it a weight to weigh it.",IF(LEFT($F10,7)="NEITHER","Cannot be weighed — split it, premix it, or raise the batch size",IF($G10&gt;Settings!$B$4*$E10+0.0001,"Held to the scale's resolution, not "&amp;TEXT(Settings!$B$4,"0%"),""))))</f>
        <v>Held to the scale's resolution, not 2%</v>
      </c>
    </row>
    <row r="11" customFormat="false" ht="15" hidden="false" customHeight="false" outlineLevel="0" collapsed="false">
      <c r="A11" s="21" t="n">
        <f aca="false">IF($B11="","",3)</f>
        <v>3</v>
      </c>
      <c r="B11" s="22" t="s">
        <v>117</v>
      </c>
      <c r="C11" s="23" t="n">
        <v>5</v>
      </c>
      <c r="D11" s="24" t="n">
        <f aca="false">IF($B11="","",$C11/1000)</f>
        <v>0.005</v>
      </c>
      <c r="E11" s="25" t="n">
        <f aca="false">IF($B11="","",$D11*$C$4)</f>
        <v>16</v>
      </c>
      <c r="F11" s="26" t="str">
        <f aca="false">IF($B11="","",IF($C11=0,"Listed — not weighed",IF($E11&lt;0,"NEITHER — negative weight",IF($E11&gt;=Settings!$B$19,Settings!$B$6,IF($E11&gt;Settings!$B$14,"NEITHER — over bench capacity",IF($E11&gt;=2*Settings!$B$12,Settings!$B$11,"NEITHER — under bench resolution"))))))</f>
        <v>Main scale</v>
      </c>
      <c r="G11" s="25" t="n">
        <f aca="false">IF($B11="","",IF($F11=Settings!$B$6,MAX(2*Settings!$B$7,Settings!$B$4*$E11),IF($F11=Settings!$B$11,MAX(2*Settings!$B$12,Settings!$B$4*$E11),"")))</f>
        <v>2</v>
      </c>
      <c r="H11" s="27" t="str">
        <f aca="false">IF($B11="","",IF(LEFT($F11,6)="Listed","Quantity 0: shown on the station as a reminder, not weighed. Give it a weight to weigh it.",IF(LEFT($F11,7)="NEITHER","Cannot be weighed — split it, premix it, or raise the batch size",IF($G11&gt;Settings!$B$4*$E11+0.0001,"Held to the scale's resolution, not "&amp;TEXT(Settings!$B$4,"0%"),""))))</f>
        <v>Held to the scale's resolution, not 2%</v>
      </c>
    </row>
    <row r="12" customFormat="false" ht="15" hidden="false" customHeight="false" outlineLevel="0" collapsed="false">
      <c r="A12" s="21" t="n">
        <f aca="false">IF($B12="","",4)</f>
        <v>4</v>
      </c>
      <c r="B12" s="22" t="s">
        <v>106</v>
      </c>
      <c r="C12" s="23" t="n">
        <v>10</v>
      </c>
      <c r="D12" s="24" t="n">
        <f aca="false">IF($B12="","",$C12/1000)</f>
        <v>0.01</v>
      </c>
      <c r="E12" s="25" t="n">
        <f aca="false">IF($B12="","",$D12*$C$4)</f>
        <v>32</v>
      </c>
      <c r="F12" s="26" t="str">
        <f aca="false">IF($B12="","",IF($C12=0,"Listed — not weighed",IF($E12&lt;0,"NEITHER — negative weight",IF($E12&gt;=Settings!$B$19,Settings!$B$6,IF($E12&gt;Settings!$B$14,"NEITHER — over bench capacity",IF($E12&gt;=2*Settings!$B$12,Settings!$B$11,"NEITHER — under bench resolution"))))))</f>
        <v>Main scale</v>
      </c>
      <c r="G12" s="25" t="n">
        <f aca="false">IF($B12="","",IF($F12=Settings!$B$6,MAX(2*Settings!$B$7,Settings!$B$4*$E12),IF($F12=Settings!$B$11,MAX(2*Settings!$B$12,Settings!$B$4*$E12),"")))</f>
        <v>2</v>
      </c>
      <c r="H12" s="27" t="str">
        <f aca="false">IF($B12="","",IF(LEFT($F12,6)="Listed","Quantity 0: shown on the station as a reminder, not weighed. Give it a weight to weigh it.",IF(LEFT($F12,7)="NEITHER","Cannot be weighed — split it, premix it, or raise the batch size",IF($G12&gt;Settings!$B$4*$E12+0.0001,"Held to the scale's resolution, not "&amp;TEXT(Settings!$B$4,"0%"),""))))</f>
        <v>Held to the scale's resolution, not 2%</v>
      </c>
    </row>
    <row r="13" customFormat="false" ht="15" hidden="false" customHeight="false" outlineLevel="0" collapsed="false">
      <c r="A13" s="21" t="n">
        <f aca="false">IF($B13="","",5)</f>
        <v>5</v>
      </c>
      <c r="B13" s="22" t="s">
        <v>80</v>
      </c>
      <c r="C13" s="23" t="n">
        <v>3</v>
      </c>
      <c r="D13" s="24" t="n">
        <f aca="false">IF($B13="","",$C13/1000)</f>
        <v>0.003</v>
      </c>
      <c r="E13" s="25" t="n">
        <f aca="false">IF($B13="","",$D13*$C$4)</f>
        <v>9.6</v>
      </c>
      <c r="F13" s="26" t="str">
        <f aca="false">IF($B13="","",IF($C13=0,"Listed — not weighed",IF($E13&lt;0,"NEITHER — negative weight",IF($E13&gt;=Settings!$B$19,Settings!$B$6,IF($E13&gt;Settings!$B$14,"NEITHER — over bench capacity",IF($E13&gt;=2*Settings!$B$12,Settings!$B$11,"NEITHER — under bench resolution"))))))</f>
        <v>Main scale</v>
      </c>
      <c r="G13" s="25" t="n">
        <f aca="false">IF($B13="","",IF($F13=Settings!$B$6,MAX(2*Settings!$B$7,Settings!$B$4*$E13),IF($F13=Settings!$B$11,MAX(2*Settings!$B$12,Settings!$B$4*$E13),"")))</f>
        <v>2</v>
      </c>
      <c r="H13" s="27" t="str">
        <f aca="false">IF($B13="","",IF(LEFT($F13,6)="Listed","Quantity 0: shown on the station as a reminder, not weighed. Give it a weight to weigh it.",IF(LEFT($F13,7)="NEITHER","Cannot be weighed — split it, premix it, or raise the batch size",IF($G13&gt;Settings!$B$4*$E13+0.0001,"Held to the scale's resolution, not "&amp;TEXT(Settings!$B$4,"0%"),""))))</f>
        <v>Held to the scale's resolution, not 2%</v>
      </c>
    </row>
    <row r="14" customFormat="false" ht="15" hidden="false" customHeight="false" outlineLevel="0" collapsed="false">
      <c r="A14" s="21" t="n">
        <f aca="false">IF($B14="","",6)</f>
        <v>6</v>
      </c>
      <c r="B14" s="22" t="s">
        <v>118</v>
      </c>
      <c r="C14" s="23" t="n">
        <v>4.138</v>
      </c>
      <c r="D14" s="24" t="n">
        <f aca="false">IF($B14="","",$C14/1000)</f>
        <v>0.004138</v>
      </c>
      <c r="E14" s="25" t="n">
        <f aca="false">IF($B14="","",$D14*$C$4)</f>
        <v>13.2416</v>
      </c>
      <c r="F14" s="26" t="str">
        <f aca="false">IF($B14="","",IF($C14=0,"Listed — not weighed",IF($E14&lt;0,"NEITHER — negative weight",IF($E14&gt;=Settings!$B$19,Settings!$B$6,IF($E14&gt;Settings!$B$14,"NEITHER — over bench capacity",IF($E14&gt;=2*Settings!$B$12,Settings!$B$11,"NEITHER — under bench resolution"))))))</f>
        <v>Main scale</v>
      </c>
      <c r="G14" s="25" t="n">
        <f aca="false">IF($B14="","",IF($F14=Settings!$B$6,MAX(2*Settings!$B$7,Settings!$B$4*$E14),IF($F14=Settings!$B$11,MAX(2*Settings!$B$12,Settings!$B$4*$E14),"")))</f>
        <v>2</v>
      </c>
      <c r="H14" s="27" t="str">
        <f aca="false">IF($B14="","",IF(LEFT($F14,6)="Listed","Quantity 0: shown on the station as a reminder, not weighed. Give it a weight to weigh it.",IF(LEFT($F14,7)="NEITHER","Cannot be weighed — split it, premix it, or raise the batch size",IF($G14&gt;Settings!$B$4*$E14+0.0001,"Held to the scale's resolution, not "&amp;TEXT(Settings!$B$4,"0%"),""))))</f>
        <v>Held to the scale's resolution, not 2%</v>
      </c>
    </row>
    <row r="15" customFormat="false" ht="15" hidden="false" customHeight="false" outlineLevel="0" collapsed="false">
      <c r="A15" s="21" t="n">
        <f aca="false">IF($B15="","",7)</f>
        <v>7</v>
      </c>
      <c r="B15" s="22" t="s">
        <v>119</v>
      </c>
      <c r="C15" s="23" t="n">
        <v>4.138</v>
      </c>
      <c r="D15" s="24" t="n">
        <f aca="false">IF($B15="","",$C15/1000)</f>
        <v>0.004138</v>
      </c>
      <c r="E15" s="25" t="n">
        <f aca="false">IF($B15="","",$D15*$C$4)</f>
        <v>13.2416</v>
      </c>
      <c r="F15" s="26" t="str">
        <f aca="false">IF($B15="","",IF($C15=0,"Listed — not weighed",IF($E15&lt;0,"NEITHER — negative weight",IF($E15&gt;=Settings!$B$19,Settings!$B$6,IF($E15&gt;Settings!$B$14,"NEITHER — over bench capacity",IF($E15&gt;=2*Settings!$B$12,Settings!$B$11,"NEITHER — under bench resolution"))))))</f>
        <v>Main scale</v>
      </c>
      <c r="G15" s="25" t="n">
        <f aca="false">IF($B15="","",IF($F15=Settings!$B$6,MAX(2*Settings!$B$7,Settings!$B$4*$E15),IF($F15=Settings!$B$11,MAX(2*Settings!$B$12,Settings!$B$4*$E15),"")))</f>
        <v>2</v>
      </c>
      <c r="H15" s="27" t="str">
        <f aca="false">IF($B15="","",IF(LEFT($F15,6)="Listed","Quantity 0: shown on the station as a reminder, not weighed. Give it a weight to weigh it.",IF(LEFT($F15,7)="NEITHER","Cannot be weighed — split it, premix it, or raise the batch size",IF($G15&gt;Settings!$B$4*$E15+0.0001,"Held to the scale's resolution, not "&amp;TEXT(Settings!$B$4,"0%"),""))))</f>
        <v>Held to the scale's resolution, not 2%</v>
      </c>
    </row>
    <row r="16" customFormat="false" ht="15" hidden="false" customHeight="false" outlineLevel="0" collapsed="false">
      <c r="A16" s="21" t="n">
        <f aca="false">IF($B16="","",8)</f>
        <v>8</v>
      </c>
      <c r="B16" s="22" t="s">
        <v>90</v>
      </c>
      <c r="C16" s="23" t="n">
        <v>30</v>
      </c>
      <c r="D16" s="24" t="n">
        <f aca="false">IF($B16="","",$C16/1000)</f>
        <v>0.03</v>
      </c>
      <c r="E16" s="25" t="n">
        <f aca="false">IF($B16="","",$D16*$C$4)</f>
        <v>96</v>
      </c>
      <c r="F16" s="26" t="str">
        <f aca="false">IF($B16="","",IF($C16=0,"Listed — not weighed",IF($E16&lt;0,"NEITHER — negative weight",IF($E16&gt;=Settings!$B$19,Settings!$B$6,IF($E16&gt;Settings!$B$14,"NEITHER — over bench capacity",IF($E16&gt;=2*Settings!$B$12,Settings!$B$11,"NEITHER — under bench resolution"))))))</f>
        <v>Main scale</v>
      </c>
      <c r="G16" s="25" t="n">
        <f aca="false">IF($B16="","",IF($F16=Settings!$B$6,MAX(2*Settings!$B$7,Settings!$B$4*$E16),IF($F16=Settings!$B$11,MAX(2*Settings!$B$12,Settings!$B$4*$E16),"")))</f>
        <v>2</v>
      </c>
      <c r="H16" s="27" t="str">
        <f aca="false">IF($B16="","",IF(LEFT($F16,6)="Listed","Quantity 0: shown on the station as a reminder, not weighed. Give it a weight to weigh it.",IF(LEFT($F16,7)="NEITHER","Cannot be weighed — split it, premix it, or raise the batch size",IF($G16&gt;Settings!$B$4*$E16+0.0001,"Held to the scale's resolution, not "&amp;TEXT(Settings!$B$4,"0%"),""))))</f>
        <v>Held to the scale's resolution, not 2%</v>
      </c>
    </row>
    <row r="17" customFormat="false" ht="15" hidden="false" customHeight="false" outlineLevel="0" collapsed="false">
      <c r="A17" s="21" t="n">
        <f aca="false">IF($B17="","",9)</f>
        <v>9</v>
      </c>
      <c r="B17" s="22" t="s">
        <v>107</v>
      </c>
      <c r="C17" s="23" t="n">
        <v>10</v>
      </c>
      <c r="D17" s="24" t="n">
        <f aca="false">IF($B17="","",$C17/1000)</f>
        <v>0.01</v>
      </c>
      <c r="E17" s="25" t="n">
        <f aca="false">IF($B17="","",$D17*$C$4)</f>
        <v>32</v>
      </c>
      <c r="F17" s="26" t="str">
        <f aca="false">IF($B17="","",IF($C17=0,"Listed — not weighed",IF($E17&lt;0,"NEITHER — negative weight",IF($E17&gt;=Settings!$B$19,Settings!$B$6,IF($E17&gt;Settings!$B$14,"NEITHER — over bench capacity",IF($E17&gt;=2*Settings!$B$12,Settings!$B$11,"NEITHER — under bench resolution"))))))</f>
        <v>Main scale</v>
      </c>
      <c r="G17" s="25" t="n">
        <f aca="false">IF($B17="","",IF($F17=Settings!$B$6,MAX(2*Settings!$B$7,Settings!$B$4*$E17),IF($F17=Settings!$B$11,MAX(2*Settings!$B$12,Settings!$B$4*$E17),"")))</f>
        <v>2</v>
      </c>
      <c r="H17" s="27" t="str">
        <f aca="false">IF($B17="","",IF(LEFT($F17,6)="Listed","Quantity 0: shown on the station as a reminder, not weighed. Give it a weight to weigh it.",IF(LEFT($F17,7)="NEITHER","Cannot be weighed — split it, premix it, or raise the batch size",IF($G17&gt;Settings!$B$4*$E17+0.0001,"Held to the scale's resolution, not "&amp;TEXT(Settings!$B$4,"0%"),""))))</f>
        <v>Held to the scale's resolution, not 2%</v>
      </c>
    </row>
    <row r="18" customFormat="false" ht="15" hidden="false" customHeight="false" outlineLevel="0" collapsed="false">
      <c r="A18" s="21" t="n">
        <f aca="false">IF($B18="","",10)</f>
        <v>10</v>
      </c>
      <c r="B18" s="22" t="s">
        <v>83</v>
      </c>
      <c r="C18" s="23" t="n">
        <v>20</v>
      </c>
      <c r="D18" s="24" t="n">
        <f aca="false">IF($B18="","",$C18/1000)</f>
        <v>0.02</v>
      </c>
      <c r="E18" s="25" t="n">
        <f aca="false">IF($B18="","",$D18*$C$4)</f>
        <v>64</v>
      </c>
      <c r="F18" s="26" t="str">
        <f aca="false">IF($B18="","",IF($C18=0,"Listed — not weighed",IF($E18&lt;0,"NEITHER — negative weight",IF($E18&gt;=Settings!$B$19,Settings!$B$6,IF($E18&gt;Settings!$B$14,"NEITHER — over bench capacity",IF($E18&gt;=2*Settings!$B$12,Settings!$B$11,"NEITHER — under bench resolution"))))))</f>
        <v>Main scale</v>
      </c>
      <c r="G18" s="25" t="n">
        <f aca="false">IF($B18="","",IF($F18=Settings!$B$6,MAX(2*Settings!$B$7,Settings!$B$4*$E18),IF($F18=Settings!$B$11,MAX(2*Settings!$B$12,Settings!$B$4*$E18),"")))</f>
        <v>2</v>
      </c>
      <c r="H18" s="27" t="str">
        <f aca="false">IF($B18="","",IF(LEFT($F18,6)="Listed","Quantity 0: shown on the station as a reminder, not weighed. Give it a weight to weigh it.",IF(LEFT($F18,7)="NEITHER","Cannot be weighed — split it, premix it, or raise the batch size",IF($G18&gt;Settings!$B$4*$E18+0.0001,"Held to the scale's resolution, not "&amp;TEXT(Settings!$B$4,"0%"),""))))</f>
        <v>Held to the scale's resolution, not 2%</v>
      </c>
    </row>
    <row r="19" customFormat="false" ht="15" hidden="false" customHeight="false" outlineLevel="0" collapsed="false">
      <c r="A19" s="21" t="n">
        <f aca="false">IF($B19="","",11)</f>
        <v>11</v>
      </c>
      <c r="B19" s="22" t="s">
        <v>108</v>
      </c>
      <c r="C19" s="23" t="n">
        <v>168.582</v>
      </c>
      <c r="D19" s="24" t="n">
        <f aca="false">IF($B19="","",$C19/1000)</f>
        <v>0.168582</v>
      </c>
      <c r="E19" s="25" t="n">
        <f aca="false">IF($B19="","",$D19*$C$4)</f>
        <v>539.4624</v>
      </c>
      <c r="F19" s="26" t="str">
        <f aca="false">IF($B19="","",IF($C19=0,"Listed — not weighed",IF($E19&lt;0,"NEITHER — negative weight",IF($E19&gt;=Settings!$B$19,Settings!$B$6,IF($E19&gt;Settings!$B$14,"NEITHER — over bench capacity",IF($E19&gt;=2*Settings!$B$12,Settings!$B$11,"NEITHER — under bench resolution"))))))</f>
        <v>Main scale</v>
      </c>
      <c r="G19" s="25" t="n">
        <f aca="false">IF($B19="","",IF($F19=Settings!$B$6,MAX(2*Settings!$B$7,Settings!$B$4*$E19),IF($F19=Settings!$B$11,MAX(2*Settings!$B$12,Settings!$B$4*$E19),"")))</f>
        <v>10.789248</v>
      </c>
      <c r="H19" s="27" t="str">
        <f aca="false">IF($B19="","",IF(LEFT($F19,6)="Listed","Quantity 0: shown on the station as a reminder, not weighed. Give it a weight to weigh it.",IF(LEFT($F19,7)="NEITHER","Cannot be weighed — split it, premix it, or raise the batch size",IF($G19&gt;Settings!$B$4*$E19+0.0001,"Held to the scale's resolution, not "&amp;TEXT(Settings!$B$4,"0%"),""))))</f>
        <v/>
      </c>
    </row>
    <row r="20" customFormat="false" ht="15" hidden="false" customHeight="false" outlineLevel="0" collapsed="false">
      <c r="A20" s="21" t="n">
        <f aca="false">IF($B20="","",12)</f>
        <v>12</v>
      </c>
      <c r="B20" s="22" t="s">
        <v>109</v>
      </c>
      <c r="C20" s="23" t="n">
        <v>10</v>
      </c>
      <c r="D20" s="24" t="n">
        <f aca="false">IF($B20="","",$C20/1000)</f>
        <v>0.01</v>
      </c>
      <c r="E20" s="25" t="n">
        <f aca="false">IF($B20="","",$D20*$C$4)</f>
        <v>32</v>
      </c>
      <c r="F20" s="26" t="str">
        <f aca="false">IF($B20="","",IF($C20=0,"Listed — not weighed",IF($E20&lt;0,"NEITHER — negative weight",IF($E20&gt;=Settings!$B$19,Settings!$B$6,IF($E20&gt;Settings!$B$14,"NEITHER — over bench capacity",IF($E20&gt;=2*Settings!$B$12,Settings!$B$11,"NEITHER — under bench resolution"))))))</f>
        <v>Main scale</v>
      </c>
      <c r="G20" s="25" t="n">
        <f aca="false">IF($B20="","",IF($F20=Settings!$B$6,MAX(2*Settings!$B$7,Settings!$B$4*$E20),IF($F20=Settings!$B$11,MAX(2*Settings!$B$12,Settings!$B$4*$E20),"")))</f>
        <v>2</v>
      </c>
      <c r="H20" s="27" t="str">
        <f aca="false">IF($B20="","",IF(LEFT($F20,6)="Listed","Quantity 0: shown on the station as a reminder, not weighed. Give it a weight to weigh it.",IF(LEFT($F20,7)="NEITHER","Cannot be weighed — split it, premix it, or raise the batch size",IF($G20&gt;Settings!$B$4*$E20+0.0001,"Held to the scale's resolution, not "&amp;TEXT(Settings!$B$4,"0%"),""))))</f>
        <v>Held to the scale's resolution, not 2%</v>
      </c>
    </row>
    <row r="21" customFormat="false" ht="15" hidden="false" customHeight="false" outlineLevel="0" collapsed="false">
      <c r="A21" s="21" t="n">
        <f aca="false">IF($B21="","",13)</f>
        <v>13</v>
      </c>
      <c r="B21" s="22" t="s">
        <v>100</v>
      </c>
      <c r="C21" s="23" t="n">
        <v>2</v>
      </c>
      <c r="D21" s="24" t="n">
        <f aca="false">IF($B21="","",$C21/1000)</f>
        <v>0.002</v>
      </c>
      <c r="E21" s="25" t="n">
        <f aca="false">IF($B21="","",$D21*$C$4)</f>
        <v>6.4</v>
      </c>
      <c r="F21" s="26" t="str">
        <f aca="false">IF($B21="","",IF($C21=0,"Listed — not weighed",IF($E21&lt;0,"NEITHER — negative weight",IF($E21&gt;=Settings!$B$19,Settings!$B$6,IF($E21&gt;Settings!$B$14,"NEITHER — over bench capacity",IF($E21&gt;=2*Settings!$B$12,Settings!$B$11,"NEITHER — under bench resolution"))))))</f>
        <v>Main scale</v>
      </c>
      <c r="G21" s="25" t="n">
        <f aca="false">IF($B21="","",IF($F21=Settings!$B$6,MAX(2*Settings!$B$7,Settings!$B$4*$E21),IF($F21=Settings!$B$11,MAX(2*Settings!$B$12,Settings!$B$4*$E21),"")))</f>
        <v>2</v>
      </c>
      <c r="H21" s="27" t="str">
        <f aca="false">IF($B21="","",IF(LEFT($F21,6)="Listed","Quantity 0: shown on the station as a reminder, not weighed. Give it a weight to weigh it.",IF(LEFT($F21,7)="NEITHER","Cannot be weighed — split it, premix it, or raise the batch size",IF($G21&gt;Settings!$B$4*$E21+0.0001,"Held to the scale's resolution, not "&amp;TEXT(Settings!$B$4,"0%"),""))))</f>
        <v>Held to the scale's resolution, not 2%</v>
      </c>
    </row>
    <row r="22" customFormat="false" ht="15" hidden="false" customHeight="false" outlineLevel="0" collapsed="false">
      <c r="A22" s="21" t="n">
        <f aca="false">IF($B22="","",14)</f>
        <v>14</v>
      </c>
      <c r="B22" s="22" t="s">
        <v>99</v>
      </c>
      <c r="C22" s="23" t="n">
        <v>1</v>
      </c>
      <c r="D22" s="24" t="n">
        <f aca="false">IF($B22="","",$C22/1000)</f>
        <v>0.001</v>
      </c>
      <c r="E22" s="25" t="n">
        <f aca="false">IF($B22="","",$D22*$C$4)</f>
        <v>3.2</v>
      </c>
      <c r="F22" s="26" t="str">
        <f aca="false">IF($B22="","",IF($C22=0,"Listed — not weighed",IF($E22&lt;0,"NEITHER — negative weight",IF($E22&gt;=Settings!$B$19,Settings!$B$6,IF($E22&gt;Settings!$B$14,"NEITHER — over bench capacity",IF($E22&gt;=2*Settings!$B$12,Settings!$B$11,"NEITHER — under bench resolution"))))))</f>
        <v>Small scale</v>
      </c>
      <c r="G22" s="25" t="n">
        <f aca="false">IF($B22="","",IF($F22=Settings!$B$6,MAX(2*Settings!$B$7,Settings!$B$4*$E22),IF($F22=Settings!$B$11,MAX(2*Settings!$B$12,Settings!$B$4*$E22),"")))</f>
        <v>0.2</v>
      </c>
      <c r="H22" s="27" t="str">
        <f aca="false">IF($B22="","",IF(LEFT($F22,6)="Listed","Quantity 0: shown on the station as a reminder, not weighed. Give it a weight to weigh it.",IF(LEFT($F22,7)="NEITHER","Cannot be weighed — split it, premix it, or raise the batch size",IF($G22&gt;Settings!$B$4*$E22+0.0001,"Held to the scale's resolution, not "&amp;TEXT(Settings!$B$4,"0%"),""))))</f>
        <v>Held to the scale's resolution, not 2%</v>
      </c>
    </row>
    <row r="23" customFormat="false" ht="15" hidden="false" customHeight="false" outlineLevel="0" collapsed="false">
      <c r="A23" s="21" t="n">
        <f aca="false">IF($B23="","",15)</f>
        <v>15</v>
      </c>
      <c r="B23" s="22" t="s">
        <v>112</v>
      </c>
      <c r="C23" s="23" t="n">
        <v>38.87</v>
      </c>
      <c r="D23" s="24" t="n">
        <f aca="false">IF($B23="","",$C23/1000)</f>
        <v>0.03887</v>
      </c>
      <c r="E23" s="25" t="n">
        <f aca="false">IF($B23="","",$D23*$C$4)</f>
        <v>124.384</v>
      </c>
      <c r="F23" s="26" t="str">
        <f aca="false">IF($B23="","",IF($C23=0,"Listed — not weighed",IF($E23&lt;0,"NEITHER — negative weight",IF($E23&gt;=Settings!$B$19,Settings!$B$6,IF($E23&gt;Settings!$B$14,"NEITHER — over bench capacity",IF($E23&gt;=2*Settings!$B$12,Settings!$B$11,"NEITHER — under bench resolution"))))))</f>
        <v>Main scale</v>
      </c>
      <c r="G23" s="25" t="n">
        <f aca="false">IF($B23="","",IF($F23=Settings!$B$6,MAX(2*Settings!$B$7,Settings!$B$4*$E23),IF($F23=Settings!$B$11,MAX(2*Settings!$B$12,Settings!$B$4*$E23),"")))</f>
        <v>2.48768</v>
      </c>
      <c r="H23" s="27" t="str">
        <f aca="false">IF($B23="","",IF(LEFT($F23,6)="Listed","Quantity 0: shown on the station as a reminder, not weighed. Give it a weight to weigh it.",IF(LEFT($F23,7)="NEITHER","Cannot be weighed — split it, premix it, or raise the batch size",IF($G23&gt;Settings!$B$4*$E23+0.0001,"Held to the scale's resolution, not "&amp;TEXT(Settings!$B$4,"0%"),""))))</f>
        <v/>
      </c>
    </row>
    <row r="24" customFormat="false" ht="15" hidden="false" customHeight="false" outlineLevel="0" collapsed="false">
      <c r="A24" s="21" t="n">
        <f aca="false">IF($B24="","",16)</f>
        <v>16</v>
      </c>
      <c r="B24" s="22" t="s">
        <v>113</v>
      </c>
      <c r="C24" s="23" t="n">
        <v>6.802</v>
      </c>
      <c r="D24" s="24" t="n">
        <f aca="false">IF($B24="","",$C24/1000)</f>
        <v>0.006802</v>
      </c>
      <c r="E24" s="25" t="n">
        <f aca="false">IF($B24="","",$D24*$C$4)</f>
        <v>21.7664</v>
      </c>
      <c r="F24" s="26" t="str">
        <f aca="false">IF($B24="","",IF($C24=0,"Listed — not weighed",IF($E24&lt;0,"NEITHER — negative weight",IF($E24&gt;=Settings!$B$19,Settings!$B$6,IF($E24&gt;Settings!$B$14,"NEITHER — over bench capacity",IF($E24&gt;=2*Settings!$B$12,Settings!$B$11,"NEITHER — under bench resolution"))))))</f>
        <v>Main scale</v>
      </c>
      <c r="G24" s="25" t="n">
        <f aca="false">IF($B24="","",IF($F24=Settings!$B$6,MAX(2*Settings!$B$7,Settings!$B$4*$E24),IF($F24=Settings!$B$11,MAX(2*Settings!$B$12,Settings!$B$4*$E24),"")))</f>
        <v>2</v>
      </c>
      <c r="H24" s="27" t="str">
        <f aca="false">IF($B24="","",IF(LEFT($F24,6)="Listed","Quantity 0: shown on the station as a reminder, not weighed. Give it a weight to weigh it.",IF(LEFT($F24,7)="NEITHER","Cannot be weighed — split it, premix it, or raise the batch size",IF($G24&gt;Settings!$B$4*$E24+0.0001,"Held to the scale's resolution, not "&amp;TEXT(Settings!$B$4,"0%"),""))))</f>
        <v>Held to the scale's resolution, not 2%</v>
      </c>
    </row>
    <row r="25" customFormat="false" ht="15" hidden="false" customHeight="false" outlineLevel="0" collapsed="false">
      <c r="A25" s="21" t="n">
        <f aca="false">IF($B25="","",17)</f>
        <v>17</v>
      </c>
      <c r="B25" s="22" t="s">
        <v>114</v>
      </c>
      <c r="C25" s="23" t="n">
        <v>1.037</v>
      </c>
      <c r="D25" s="24" t="n">
        <f aca="false">IF($B25="","",$C25/1000)</f>
        <v>0.001037</v>
      </c>
      <c r="E25" s="25" t="n">
        <f aca="false">IF($B25="","",$D25*$C$4)</f>
        <v>3.3184</v>
      </c>
      <c r="F25" s="26" t="str">
        <f aca="false">IF($B25="","",IF($C25=0,"Listed — not weighed",IF($E25&lt;0,"NEITHER — negative weight",IF($E25&gt;=Settings!$B$19,Settings!$B$6,IF($E25&gt;Settings!$B$14,"NEITHER — over bench capacity",IF($E25&gt;=2*Settings!$B$12,Settings!$B$11,"NEITHER — under bench resolution"))))))</f>
        <v>Small scale</v>
      </c>
      <c r="G25" s="25" t="n">
        <f aca="false">IF($B25="","",IF($F25=Settings!$B$6,MAX(2*Settings!$B$7,Settings!$B$4*$E25),IF($F25=Settings!$B$11,MAX(2*Settings!$B$12,Settings!$B$4*$E25),"")))</f>
        <v>0.2</v>
      </c>
      <c r="H25" s="27" t="str">
        <f aca="false">IF($B25="","",IF(LEFT($F25,6)="Listed","Quantity 0: shown on the station as a reminder, not weighed. Give it a weight to weigh it.",IF(LEFT($F25,7)="NEITHER","Cannot be weighed — split it, premix it, or raise the batch size",IF($G25&gt;Settings!$B$4*$E25+0.0001,"Held to the scale's resolution, not "&amp;TEXT(Settings!$B$4,"0%"),""))))</f>
        <v>Held to the scale's resolution, not 2%</v>
      </c>
    </row>
    <row r="26" customFormat="false" ht="15" hidden="false" customHeight="false" outlineLevel="0" collapsed="false">
      <c r="A26" s="21" t="str">
        <f aca="false">IF($B26="","",18)</f>
        <v/>
      </c>
      <c r="B26" s="22"/>
      <c r="C26" s="23"/>
      <c r="D26" s="24" t="str">
        <f aca="false">IF($B26="","",$C26/1000)</f>
        <v/>
      </c>
      <c r="E26" s="25" t="str">
        <f aca="false">IF($B26="","",$D26*$C$4)</f>
        <v/>
      </c>
      <c r="F26" s="26" t="str">
        <f aca="false">IF($B26="","",IF($C26=0,"Listed — not weighed",IF($E26&lt;0,"NEITHER — negative weight",IF($E26&gt;=Settings!$B$19,Settings!$B$6,IF($E26&gt;Settings!$B$14,"NEITHER — over bench capacity",IF($E26&gt;=2*Settings!$B$12,Settings!$B$11,"NEITHER — under bench resolution"))))))</f>
        <v/>
      </c>
      <c r="G26" s="25" t="str">
        <f aca="false">IF($B26="","",IF($F26=Settings!$B$6,MAX(2*Settings!$B$7,Settings!$B$4*$E26),IF($F26=Settings!$B$11,MAX(2*Settings!$B$12,Settings!$B$4*$E26),"")))</f>
        <v/>
      </c>
      <c r="H26" s="27" t="str">
        <f aca="false">IF($B26="","",IF(LEFT($F26,6)="Listed","Quantity 0: shown on the station as a reminder, not weighed. Give it a weight to weigh it.",IF(LEFT($F26,7)="NEITHER","Cannot be weighed — split it, premix it, or raise the batch size",IF($G26&gt;Settings!$B$4*$E26+0.0001,"Held to the scale's resolution, not "&amp;TEXT(Settings!$B$4,"0%"),""))))</f>
        <v/>
      </c>
    </row>
    <row r="27" customFormat="false" ht="15" hidden="false" customHeight="false" outlineLevel="0" collapsed="false">
      <c r="A27" s="21" t="str">
        <f aca="false">IF($B27="","",19)</f>
        <v/>
      </c>
      <c r="B27" s="22"/>
      <c r="C27" s="23"/>
      <c r="D27" s="24" t="str">
        <f aca="false">IF($B27="","",$C27/1000)</f>
        <v/>
      </c>
      <c r="E27" s="25" t="str">
        <f aca="false">IF($B27="","",$D27*$C$4)</f>
        <v/>
      </c>
      <c r="F27" s="26" t="str">
        <f aca="false">IF($B27="","",IF($C27=0,"Listed — not weighed",IF($E27&lt;0,"NEITHER — negative weight",IF($E27&gt;=Settings!$B$19,Settings!$B$6,IF($E27&gt;Settings!$B$14,"NEITHER — over bench capacity",IF($E27&gt;=2*Settings!$B$12,Settings!$B$11,"NEITHER — under bench resolution"))))))</f>
        <v/>
      </c>
      <c r="G27" s="25" t="str">
        <f aca="false">IF($B27="","",IF($F27=Settings!$B$6,MAX(2*Settings!$B$7,Settings!$B$4*$E27),IF($F27=Settings!$B$11,MAX(2*Settings!$B$12,Settings!$B$4*$E27),"")))</f>
        <v/>
      </c>
      <c r="H27" s="27" t="str">
        <f aca="false">IF($B27="","",IF(LEFT($F27,6)="Listed","Quantity 0: shown on the station as a reminder, not weighed. Give it a weight to weigh it.",IF(LEFT($F27,7)="NEITHER","Cannot be weighed — split it, premix it, or raise the batch size",IF($G27&gt;Settings!$B$4*$E27+0.0001,"Held to the scale's resolution, not "&amp;TEXT(Settings!$B$4,"0%"),""))))</f>
        <v/>
      </c>
    </row>
    <row r="28" customFormat="false" ht="15" hidden="false" customHeight="false" outlineLevel="0" collapsed="false">
      <c r="A28" s="21" t="str">
        <f aca="false">IF($B28="","",20)</f>
        <v/>
      </c>
      <c r="B28" s="22"/>
      <c r="C28" s="23"/>
      <c r="D28" s="24" t="str">
        <f aca="false">IF($B28="","",$C28/1000)</f>
        <v/>
      </c>
      <c r="E28" s="25" t="str">
        <f aca="false">IF($B28="","",$D28*$C$4)</f>
        <v/>
      </c>
      <c r="F28" s="26" t="str">
        <f aca="false">IF($B28="","",IF($C28=0,"Listed — not weighed",IF($E28&lt;0,"NEITHER — negative weight",IF($E28&gt;=Settings!$B$19,Settings!$B$6,IF($E28&gt;Settings!$B$14,"NEITHER — over bench capacity",IF($E28&gt;=2*Settings!$B$12,Settings!$B$11,"NEITHER — under bench resolution"))))))</f>
        <v/>
      </c>
      <c r="G28" s="25" t="str">
        <f aca="false">IF($B28="","",IF($F28=Settings!$B$6,MAX(2*Settings!$B$7,Settings!$B$4*$E28),IF($F28=Settings!$B$11,MAX(2*Settings!$B$12,Settings!$B$4*$E28),"")))</f>
        <v/>
      </c>
      <c r="H28" s="27" t="str">
        <f aca="false">IF($B28="","",IF(LEFT($F28,6)="Listed","Quantity 0: shown on the station as a reminder, not weighed. Give it a weight to weigh it.",IF(LEFT($F28,7)="NEITHER","Cannot be weighed — split it, premix it, or raise the batch size",IF($G28&gt;Settings!$B$4*$E28+0.0001,"Held to the scale's resolution, not "&amp;TEXT(Settings!$B$4,"0%"),""))))</f>
        <v/>
      </c>
    </row>
    <row r="29" customFormat="false" ht="15" hidden="false" customHeight="false" outlineLevel="0" collapsed="false">
      <c r="A29" s="21" t="str">
        <f aca="false">IF($B29="","",21)</f>
        <v/>
      </c>
      <c r="B29" s="22"/>
      <c r="C29" s="23"/>
      <c r="D29" s="24" t="str">
        <f aca="false">IF($B29="","",$C29/1000)</f>
        <v/>
      </c>
      <c r="E29" s="25" t="str">
        <f aca="false">IF($B29="","",$D29*$C$4)</f>
        <v/>
      </c>
      <c r="F29" s="26" t="str">
        <f aca="false">IF($B29="","",IF($C29=0,"Listed — not weighed",IF($E29&lt;0,"NEITHER — negative weight",IF($E29&gt;=Settings!$B$19,Settings!$B$6,IF($E29&gt;Settings!$B$14,"NEITHER — over bench capacity",IF($E29&gt;=2*Settings!$B$12,Settings!$B$11,"NEITHER — under bench resolution"))))))</f>
        <v/>
      </c>
      <c r="G29" s="25" t="str">
        <f aca="false">IF($B29="","",IF($F29=Settings!$B$6,MAX(2*Settings!$B$7,Settings!$B$4*$E29),IF($F29=Settings!$B$11,MAX(2*Settings!$B$12,Settings!$B$4*$E29),"")))</f>
        <v/>
      </c>
      <c r="H29" s="27" t="str">
        <f aca="false">IF($B29="","",IF(LEFT($F29,6)="Listed","Quantity 0: shown on the station as a reminder, not weighed. Give it a weight to weigh it.",IF(LEFT($F29,7)="NEITHER","Cannot be weighed — split it, premix it, or raise the batch size",IF($G29&gt;Settings!$B$4*$E29+0.0001,"Held to the scale's resolution, not "&amp;TEXT(Settings!$B$4,"0%"),""))))</f>
        <v/>
      </c>
    </row>
    <row r="30" customFormat="false" ht="15" hidden="false" customHeight="false" outlineLevel="0" collapsed="false">
      <c r="A30" s="21" t="str">
        <f aca="false">IF($B30="","",22)</f>
        <v/>
      </c>
      <c r="B30" s="22"/>
      <c r="C30" s="23"/>
      <c r="D30" s="24" t="str">
        <f aca="false">IF($B30="","",$C30/1000)</f>
        <v/>
      </c>
      <c r="E30" s="25" t="str">
        <f aca="false">IF($B30="","",$D30*$C$4)</f>
        <v/>
      </c>
      <c r="F30" s="26" t="str">
        <f aca="false">IF($B30="","",IF($C30=0,"Listed — not weighed",IF($E30&lt;0,"NEITHER — negative weight",IF($E30&gt;=Settings!$B$19,Settings!$B$6,IF($E30&gt;Settings!$B$14,"NEITHER — over bench capacity",IF($E30&gt;=2*Settings!$B$12,Settings!$B$11,"NEITHER — under bench resolution"))))))</f>
        <v/>
      </c>
      <c r="G30" s="25" t="str">
        <f aca="false">IF($B30="","",IF($F30=Settings!$B$6,MAX(2*Settings!$B$7,Settings!$B$4*$E30),IF($F30=Settings!$B$11,MAX(2*Settings!$B$12,Settings!$B$4*$E30),"")))</f>
        <v/>
      </c>
      <c r="H30" s="27" t="str">
        <f aca="false">IF($B30="","",IF(LEFT($F30,6)="Listed","Quantity 0: shown on the station as a reminder, not weighed. Give it a weight to weigh it.",IF(LEFT($F30,7)="NEITHER","Cannot be weighed — split it, premix it, or raise the batch size",IF($G30&gt;Settings!$B$4*$E30+0.0001,"Held to the scale's resolution, not "&amp;TEXT(Settings!$B$4,"0%"),""))))</f>
        <v/>
      </c>
    </row>
    <row r="31" customFormat="false" ht="15" hidden="false" customHeight="false" outlineLevel="0" collapsed="false">
      <c r="A31" s="21" t="str">
        <f aca="false">IF($B31="","",23)</f>
        <v/>
      </c>
      <c r="B31" s="22"/>
      <c r="C31" s="23"/>
      <c r="D31" s="24" t="str">
        <f aca="false">IF($B31="","",$C31/1000)</f>
        <v/>
      </c>
      <c r="E31" s="25" t="str">
        <f aca="false">IF($B31="","",$D31*$C$4)</f>
        <v/>
      </c>
      <c r="F31" s="26" t="str">
        <f aca="false">IF($B31="","",IF($C31=0,"Listed — not weighed",IF($E31&lt;0,"NEITHER — negative weight",IF($E31&gt;=Settings!$B$19,Settings!$B$6,IF($E31&gt;Settings!$B$14,"NEITHER — over bench capacity",IF($E31&gt;=2*Settings!$B$12,Settings!$B$11,"NEITHER — under bench resolution"))))))</f>
        <v/>
      </c>
      <c r="G31" s="25" t="str">
        <f aca="false">IF($B31="","",IF($F31=Settings!$B$6,MAX(2*Settings!$B$7,Settings!$B$4*$E31),IF($F31=Settings!$B$11,MAX(2*Settings!$B$12,Settings!$B$4*$E31),"")))</f>
        <v/>
      </c>
      <c r="H31" s="27" t="str">
        <f aca="false">IF($B31="","",IF(LEFT($F31,6)="Listed","Quantity 0: shown on the station as a reminder, not weighed. Give it a weight to weigh it.",IF(LEFT($F31,7)="NEITHER","Cannot be weighed — split it, premix it, or raise the batch size",IF($G31&gt;Settings!$B$4*$E31+0.0001,"Held to the scale's resolution, not "&amp;TEXT(Settings!$B$4,"0%"),""))))</f>
        <v/>
      </c>
    </row>
    <row r="32" customFormat="false" ht="15" hidden="false" customHeight="false" outlineLevel="0" collapsed="false">
      <c r="A32" s="21" t="str">
        <f aca="false">IF($B32="","",24)</f>
        <v/>
      </c>
      <c r="B32" s="22"/>
      <c r="C32" s="23"/>
      <c r="D32" s="24" t="str">
        <f aca="false">IF($B32="","",$C32/1000)</f>
        <v/>
      </c>
      <c r="E32" s="25" t="str">
        <f aca="false">IF($B32="","",$D32*$C$4)</f>
        <v/>
      </c>
      <c r="F32" s="26" t="str">
        <f aca="false">IF($B32="","",IF($C32=0,"Listed — not weighed",IF($E32&lt;0,"NEITHER — negative weight",IF($E32&gt;=Settings!$B$19,Settings!$B$6,IF($E32&gt;Settings!$B$14,"NEITHER — over bench capacity",IF($E32&gt;=2*Settings!$B$12,Settings!$B$11,"NEITHER — under bench resolution"))))))</f>
        <v/>
      </c>
      <c r="G32" s="25" t="str">
        <f aca="false">IF($B32="","",IF($F32=Settings!$B$6,MAX(2*Settings!$B$7,Settings!$B$4*$E32),IF($F32=Settings!$B$11,MAX(2*Settings!$B$12,Settings!$B$4*$E32),"")))</f>
        <v/>
      </c>
      <c r="H32" s="27" t="str">
        <f aca="false">IF($B32="","",IF(LEFT($F32,6)="Listed","Quantity 0: shown on the station as a reminder, not weighed. Give it a weight to weigh it.",IF(LEFT($F32,7)="NEITHER","Cannot be weighed — split it, premix it, or raise the batch size",IF($G32&gt;Settings!$B$4*$E32+0.0001,"Held to the scale's resolution, not "&amp;TEXT(Settings!$B$4,"0%"),""))))</f>
        <v/>
      </c>
    </row>
    <row r="33" customFormat="false" ht="15" hidden="false" customHeight="false" outlineLevel="0" collapsed="false">
      <c r="A33" s="21" t="str">
        <f aca="false">IF($B33="","",25)</f>
        <v/>
      </c>
      <c r="B33" s="22"/>
      <c r="C33" s="23"/>
      <c r="D33" s="24" t="str">
        <f aca="false">IF($B33="","",$C33/1000)</f>
        <v/>
      </c>
      <c r="E33" s="25" t="str">
        <f aca="false">IF($B33="","",$D33*$C$4)</f>
        <v/>
      </c>
      <c r="F33" s="26" t="str">
        <f aca="false">IF($B33="","",IF($C33=0,"Listed — not weighed",IF($E33&lt;0,"NEITHER — negative weight",IF($E33&gt;=Settings!$B$19,Settings!$B$6,IF($E33&gt;Settings!$B$14,"NEITHER — over bench capacity",IF($E33&gt;=2*Settings!$B$12,Settings!$B$11,"NEITHER — under bench resolution"))))))</f>
        <v/>
      </c>
      <c r="G33" s="25" t="str">
        <f aca="false">IF($B33="","",IF($F33=Settings!$B$6,MAX(2*Settings!$B$7,Settings!$B$4*$E33),IF($F33=Settings!$B$11,MAX(2*Settings!$B$12,Settings!$B$4*$E33),"")))</f>
        <v/>
      </c>
      <c r="H33" s="27" t="str">
        <f aca="false">IF($B33="","",IF(LEFT($F33,6)="Listed","Quantity 0: shown on the station as a reminder, not weighed. Give it a weight to weigh it.",IF(LEFT($F33,7)="NEITHER","Cannot be weighed — split it, premix it, or raise the batch size",IF($G33&gt;Settings!$B$4*$E33+0.0001,"Held to the scale's resolution, not "&amp;TEXT(Settings!$B$4,"0%"),""))))</f>
        <v/>
      </c>
    </row>
    <row r="34" customFormat="false" ht="15" hidden="false" customHeight="false" outlineLevel="0" collapsed="false">
      <c r="A34" s="21" t="str">
        <f aca="false">IF($B34="","",26)</f>
        <v/>
      </c>
      <c r="B34" s="22"/>
      <c r="C34" s="23"/>
      <c r="D34" s="24" t="str">
        <f aca="false">IF($B34="","",$C34/1000)</f>
        <v/>
      </c>
      <c r="E34" s="25" t="str">
        <f aca="false">IF($B34="","",$D34*$C$4)</f>
        <v/>
      </c>
      <c r="F34" s="26" t="str">
        <f aca="false">IF($B34="","",IF($C34=0,"Listed — not weighed",IF($E34&lt;0,"NEITHER — negative weight",IF($E34&gt;=Settings!$B$19,Settings!$B$6,IF($E34&gt;Settings!$B$14,"NEITHER — over bench capacity",IF($E34&gt;=2*Settings!$B$12,Settings!$B$11,"NEITHER — under bench resolution"))))))</f>
        <v/>
      </c>
      <c r="G34" s="25" t="str">
        <f aca="false">IF($B34="","",IF($F34=Settings!$B$6,MAX(2*Settings!$B$7,Settings!$B$4*$E34),IF($F34=Settings!$B$11,MAX(2*Settings!$B$12,Settings!$B$4*$E34),"")))</f>
        <v/>
      </c>
      <c r="H34" s="27" t="str">
        <f aca="false">IF($B34="","",IF(LEFT($F34,6)="Listed","Quantity 0: shown on the station as a reminder, not weighed. Give it a weight to weigh it.",IF(LEFT($F34,7)="NEITHER","Cannot be weighed — split it, premix it, or raise the batch size",IF($G34&gt;Settings!$B$4*$E34+0.0001,"Held to the scale's resolution, not "&amp;TEXT(Settings!$B$4,"0%"),""))))</f>
        <v/>
      </c>
    </row>
    <row r="35" customFormat="false" ht="15" hidden="false" customHeight="false" outlineLevel="0" collapsed="false">
      <c r="A35" s="21" t="str">
        <f aca="false">IF($B35="","",27)</f>
        <v/>
      </c>
      <c r="B35" s="22"/>
      <c r="C35" s="23"/>
      <c r="D35" s="24" t="str">
        <f aca="false">IF($B35="","",$C35/1000)</f>
        <v/>
      </c>
      <c r="E35" s="25" t="str">
        <f aca="false">IF($B35="","",$D35*$C$4)</f>
        <v/>
      </c>
      <c r="F35" s="26" t="str">
        <f aca="false">IF($B35="","",IF($C35=0,"Listed — not weighed",IF($E35&lt;0,"NEITHER — negative weight",IF($E35&gt;=Settings!$B$19,Settings!$B$6,IF($E35&gt;Settings!$B$14,"NEITHER — over bench capacity",IF($E35&gt;=2*Settings!$B$12,Settings!$B$11,"NEITHER — under bench resolution"))))))</f>
        <v/>
      </c>
      <c r="G35" s="25" t="str">
        <f aca="false">IF($B35="","",IF($F35=Settings!$B$6,MAX(2*Settings!$B$7,Settings!$B$4*$E35),IF($F35=Settings!$B$11,MAX(2*Settings!$B$12,Settings!$B$4*$E35),"")))</f>
        <v/>
      </c>
      <c r="H35" s="27" t="str">
        <f aca="false">IF($B35="","",IF(LEFT($F35,6)="Listed","Quantity 0: shown on the station as a reminder, not weighed. Give it a weight to weigh it.",IF(LEFT($F35,7)="NEITHER","Cannot be weighed — split it, premix it, or raise the batch size",IF($G35&gt;Settings!$B$4*$E35+0.0001,"Held to the scale's resolution, not "&amp;TEXT(Settings!$B$4,"0%"),""))))</f>
        <v/>
      </c>
    </row>
    <row r="36" customFormat="false" ht="15" hidden="false" customHeight="false" outlineLevel="0" collapsed="false">
      <c r="A36" s="21" t="str">
        <f aca="false">IF($B36="","",28)</f>
        <v/>
      </c>
      <c r="B36" s="22"/>
      <c r="C36" s="23"/>
      <c r="D36" s="24" t="str">
        <f aca="false">IF($B36="","",$C36/1000)</f>
        <v/>
      </c>
      <c r="E36" s="25" t="str">
        <f aca="false">IF($B36="","",$D36*$C$4)</f>
        <v/>
      </c>
      <c r="F36" s="26" t="str">
        <f aca="false">IF($B36="","",IF($C36=0,"Listed — not weighed",IF($E36&lt;0,"NEITHER — negative weight",IF($E36&gt;=Settings!$B$19,Settings!$B$6,IF($E36&gt;Settings!$B$14,"NEITHER — over bench capacity",IF($E36&gt;=2*Settings!$B$12,Settings!$B$11,"NEITHER — under bench resolution"))))))</f>
        <v/>
      </c>
      <c r="G36" s="25" t="str">
        <f aca="false">IF($B36="","",IF($F36=Settings!$B$6,MAX(2*Settings!$B$7,Settings!$B$4*$E36),IF($F36=Settings!$B$11,MAX(2*Settings!$B$12,Settings!$B$4*$E36),"")))</f>
        <v/>
      </c>
      <c r="H36" s="27" t="str">
        <f aca="false">IF($B36="","",IF(LEFT($F36,6)="Listed","Quantity 0: shown on the station as a reminder, not weighed. Give it a weight to weigh it.",IF(LEFT($F36,7)="NEITHER","Cannot be weighed — split it, premix it, or raise the batch size",IF($G36&gt;Settings!$B$4*$E36+0.0001,"Held to the scale's resolution, not "&amp;TEXT(Settings!$B$4,"0%"),""))))</f>
        <v/>
      </c>
    </row>
    <row r="37" customFormat="false" ht="15" hidden="false" customHeight="false" outlineLevel="0" collapsed="false">
      <c r="A37" s="21" t="str">
        <f aca="false">IF($B37="","",29)</f>
        <v/>
      </c>
      <c r="B37" s="22"/>
      <c r="C37" s="23"/>
      <c r="D37" s="24" t="str">
        <f aca="false">IF($B37="","",$C37/1000)</f>
        <v/>
      </c>
      <c r="E37" s="25" t="str">
        <f aca="false">IF($B37="","",$D37*$C$4)</f>
        <v/>
      </c>
      <c r="F37" s="26" t="str">
        <f aca="false">IF($B37="","",IF($C37=0,"Listed — not weighed",IF($E37&lt;0,"NEITHER — negative weight",IF($E37&gt;=Settings!$B$19,Settings!$B$6,IF($E37&gt;Settings!$B$14,"NEITHER — over bench capacity",IF($E37&gt;=2*Settings!$B$12,Settings!$B$11,"NEITHER — under bench resolution"))))))</f>
        <v/>
      </c>
      <c r="G37" s="25" t="str">
        <f aca="false">IF($B37="","",IF($F37=Settings!$B$6,MAX(2*Settings!$B$7,Settings!$B$4*$E37),IF($F37=Settings!$B$11,MAX(2*Settings!$B$12,Settings!$B$4*$E37),"")))</f>
        <v/>
      </c>
      <c r="H37" s="27" t="str">
        <f aca="false">IF($B37="","",IF(LEFT($F37,6)="Listed","Quantity 0: shown on the station as a reminder, not weighed. Give it a weight to weigh it.",IF(LEFT($F37,7)="NEITHER","Cannot be weighed — split it, premix it, or raise the batch size",IF($G37&gt;Settings!$B$4*$E37+0.0001,"Held to the scale's resolution, not "&amp;TEXT(Settings!$B$4,"0%"),""))))</f>
        <v/>
      </c>
    </row>
    <row r="38" customFormat="false" ht="15" hidden="false" customHeight="false" outlineLevel="0" collapsed="false">
      <c r="A38" s="21" t="str">
        <f aca="false">IF($B38="","",30)</f>
        <v/>
      </c>
      <c r="B38" s="22"/>
      <c r="C38" s="23"/>
      <c r="D38" s="24" t="str">
        <f aca="false">IF($B38="","",$C38/1000)</f>
        <v/>
      </c>
      <c r="E38" s="25" t="str">
        <f aca="false">IF($B38="","",$D38*$C$4)</f>
        <v/>
      </c>
      <c r="F38" s="26" t="str">
        <f aca="false">IF($B38="","",IF($C38=0,"Listed — not weighed",IF($E38&lt;0,"NEITHER — negative weight",IF($E38&gt;=Settings!$B$19,Settings!$B$6,IF($E38&gt;Settings!$B$14,"NEITHER — over bench capacity",IF($E38&gt;=2*Settings!$B$12,Settings!$B$11,"NEITHER — under bench resolution"))))))</f>
        <v/>
      </c>
      <c r="G38" s="25" t="str">
        <f aca="false">IF($B38="","",IF($F38=Settings!$B$6,MAX(2*Settings!$B$7,Settings!$B$4*$E38),IF($F38=Settings!$B$11,MAX(2*Settings!$B$12,Settings!$B$4*$E38),"")))</f>
        <v/>
      </c>
      <c r="H38" s="27" t="str">
        <f aca="false">IF($B38="","",IF(LEFT($F38,6)="Listed","Quantity 0: shown on the station as a reminder, not weighed. Give it a weight to weigh it.",IF(LEFT($F38,7)="NEITHER","Cannot be weighed — split it, premix it, or raise the batch size",IF($G38&gt;Settings!$B$4*$E38+0.0001,"Held to the scale's resolution, not "&amp;TEXT(Settings!$B$4,"0%"),""))))</f>
        <v/>
      </c>
    </row>
    <row r="39" customFormat="false" ht="15" hidden="false" customHeight="false" outlineLevel="0" collapsed="false">
      <c r="A39" s="21" t="str">
        <f aca="false">IF($B39="","",31)</f>
        <v/>
      </c>
      <c r="B39" s="22"/>
      <c r="C39" s="23"/>
      <c r="D39" s="24" t="str">
        <f aca="false">IF($B39="","",$C39/1000)</f>
        <v/>
      </c>
      <c r="E39" s="25" t="str">
        <f aca="false">IF($B39="","",$D39*$C$4)</f>
        <v/>
      </c>
      <c r="F39" s="26" t="str">
        <f aca="false">IF($B39="","",IF($C39=0,"Listed — not weighed",IF($E39&lt;0,"NEITHER — negative weight",IF($E39&gt;=Settings!$B$19,Settings!$B$6,IF($E39&gt;Settings!$B$14,"NEITHER — over bench capacity",IF($E39&gt;=2*Settings!$B$12,Settings!$B$11,"NEITHER — under bench resolution"))))))</f>
        <v/>
      </c>
      <c r="G39" s="25" t="str">
        <f aca="false">IF($B39="","",IF($F39=Settings!$B$6,MAX(2*Settings!$B$7,Settings!$B$4*$E39),IF($F39=Settings!$B$11,MAX(2*Settings!$B$12,Settings!$B$4*$E39),"")))</f>
        <v/>
      </c>
      <c r="H39" s="27" t="str">
        <f aca="false">IF($B39="","",IF(LEFT($F39,6)="Listed","Quantity 0: shown on the station as a reminder, not weighed. Give it a weight to weigh it.",IF(LEFT($F39,7)="NEITHER","Cannot be weighed — split it, premix it, or raise the batch size",IF($G39&gt;Settings!$B$4*$E39+0.0001,"Held to the scale's resolution, not "&amp;TEXT(Settings!$B$4,"0%"),""))))</f>
        <v/>
      </c>
    </row>
    <row r="40" customFormat="false" ht="15" hidden="false" customHeight="false" outlineLevel="0" collapsed="false">
      <c r="A40" s="21" t="str">
        <f aca="false">IF($B40="","",32)</f>
        <v/>
      </c>
      <c r="B40" s="22"/>
      <c r="C40" s="23"/>
      <c r="D40" s="24" t="str">
        <f aca="false">IF($B40="","",$C40/1000)</f>
        <v/>
      </c>
      <c r="E40" s="25" t="str">
        <f aca="false">IF($B40="","",$D40*$C$4)</f>
        <v/>
      </c>
      <c r="F40" s="26" t="str">
        <f aca="false">IF($B40="","",IF($C40=0,"Listed — not weighed",IF($E40&lt;0,"NEITHER — negative weight",IF($E40&gt;=Settings!$B$19,Settings!$B$6,IF($E40&gt;Settings!$B$14,"NEITHER — over bench capacity",IF($E40&gt;=2*Settings!$B$12,Settings!$B$11,"NEITHER — under bench resolution"))))))</f>
        <v/>
      </c>
      <c r="G40" s="25" t="str">
        <f aca="false">IF($B40="","",IF($F40=Settings!$B$6,MAX(2*Settings!$B$7,Settings!$B$4*$E40),IF($F40=Settings!$B$11,MAX(2*Settings!$B$12,Settings!$B$4*$E40),"")))</f>
        <v/>
      </c>
      <c r="H40" s="27" t="str">
        <f aca="false">IF($B40="","",IF(LEFT($F40,6)="Listed","Quantity 0: shown on the station as a reminder, not weighed. Give it a weight to weigh it.",IF(LEFT($F40,7)="NEITHER","Cannot be weighed — split it, premix it, or raise the batch size",IF($G40&gt;Settings!$B$4*$E40+0.0001,"Held to the scale's resolution, not "&amp;TEXT(Settings!$B$4,"0%"),""))))</f>
        <v/>
      </c>
    </row>
    <row r="41" customFormat="false" ht="15" hidden="false" customHeight="false" outlineLevel="0" collapsed="false">
      <c r="A41" s="21" t="str">
        <f aca="false">IF($B41="","",33)</f>
        <v/>
      </c>
      <c r="B41" s="22"/>
      <c r="C41" s="23"/>
      <c r="D41" s="24" t="str">
        <f aca="false">IF($B41="","",$C41/1000)</f>
        <v/>
      </c>
      <c r="E41" s="25" t="str">
        <f aca="false">IF($B41="","",$D41*$C$4)</f>
        <v/>
      </c>
      <c r="F41" s="26" t="str">
        <f aca="false">IF($B41="","",IF($C41=0,"Listed — not weighed",IF($E41&lt;0,"NEITHER — negative weight",IF($E41&gt;=Settings!$B$19,Settings!$B$6,IF($E41&gt;Settings!$B$14,"NEITHER — over bench capacity",IF($E41&gt;=2*Settings!$B$12,Settings!$B$11,"NEITHER — under bench resolution"))))))</f>
        <v/>
      </c>
      <c r="G41" s="25" t="str">
        <f aca="false">IF($B41="","",IF($F41=Settings!$B$6,MAX(2*Settings!$B$7,Settings!$B$4*$E41),IF($F41=Settings!$B$11,MAX(2*Settings!$B$12,Settings!$B$4*$E41),"")))</f>
        <v/>
      </c>
      <c r="H41" s="27" t="str">
        <f aca="false">IF($B41="","",IF(LEFT($F41,6)="Listed","Quantity 0: shown on the station as a reminder, not weighed. Give it a weight to weigh it.",IF(LEFT($F41,7)="NEITHER","Cannot be weighed — split it, premix it, or raise the batch size",IF($G41&gt;Settings!$B$4*$E41+0.0001,"Held to the scale's resolution, not "&amp;TEXT(Settings!$B$4,"0%"),""))))</f>
        <v/>
      </c>
    </row>
    <row r="42" customFormat="false" ht="15" hidden="false" customHeight="false" outlineLevel="0" collapsed="false">
      <c r="A42" s="21" t="str">
        <f aca="false">IF($B42="","",34)</f>
        <v/>
      </c>
      <c r="B42" s="22"/>
      <c r="C42" s="23"/>
      <c r="D42" s="24" t="str">
        <f aca="false">IF($B42="","",$C42/1000)</f>
        <v/>
      </c>
      <c r="E42" s="25" t="str">
        <f aca="false">IF($B42="","",$D42*$C$4)</f>
        <v/>
      </c>
      <c r="F42" s="26" t="str">
        <f aca="false">IF($B42="","",IF($C42=0,"Listed — not weighed",IF($E42&lt;0,"NEITHER — negative weight",IF($E42&gt;=Settings!$B$19,Settings!$B$6,IF($E42&gt;Settings!$B$14,"NEITHER — over bench capacity",IF($E42&gt;=2*Settings!$B$12,Settings!$B$11,"NEITHER — under bench resolution"))))))</f>
        <v/>
      </c>
      <c r="G42" s="25" t="str">
        <f aca="false">IF($B42="","",IF($F42=Settings!$B$6,MAX(2*Settings!$B$7,Settings!$B$4*$E42),IF($F42=Settings!$B$11,MAX(2*Settings!$B$12,Settings!$B$4*$E42),"")))</f>
        <v/>
      </c>
      <c r="H42" s="27" t="str">
        <f aca="false">IF($B42="","",IF(LEFT($F42,6)="Listed","Quantity 0: shown on the station as a reminder, not weighed. Give it a weight to weigh it.",IF(LEFT($F42,7)="NEITHER","Cannot be weighed — split it, premix it, or raise the batch size",IF($G42&gt;Settings!$B$4*$E42+0.0001,"Held to the scale's resolution, not "&amp;TEXT(Settings!$B$4,"0%"),""))))</f>
        <v/>
      </c>
    </row>
    <row r="43" customFormat="false" ht="15" hidden="false" customHeight="false" outlineLevel="0" collapsed="false">
      <c r="A43" s="21" t="str">
        <f aca="false">IF($B43="","",35)</f>
        <v/>
      </c>
      <c r="B43" s="22"/>
      <c r="C43" s="23"/>
      <c r="D43" s="24" t="str">
        <f aca="false">IF($B43="","",$C43/1000)</f>
        <v/>
      </c>
      <c r="E43" s="25" t="str">
        <f aca="false">IF($B43="","",$D43*$C$4)</f>
        <v/>
      </c>
      <c r="F43" s="26" t="str">
        <f aca="false">IF($B43="","",IF($C43=0,"Listed — not weighed",IF($E43&lt;0,"NEITHER — negative weight",IF($E43&gt;=Settings!$B$19,Settings!$B$6,IF($E43&gt;Settings!$B$14,"NEITHER — over bench capacity",IF($E43&gt;=2*Settings!$B$12,Settings!$B$11,"NEITHER — under bench resolution"))))))</f>
        <v/>
      </c>
      <c r="G43" s="25" t="str">
        <f aca="false">IF($B43="","",IF($F43=Settings!$B$6,MAX(2*Settings!$B$7,Settings!$B$4*$E43),IF($F43=Settings!$B$11,MAX(2*Settings!$B$12,Settings!$B$4*$E43),"")))</f>
        <v/>
      </c>
      <c r="H43" s="27" t="str">
        <f aca="false">IF($B43="","",IF(LEFT($F43,6)="Listed","Quantity 0: shown on the station as a reminder, not weighed. Give it a weight to weigh it.",IF(LEFT($F43,7)="NEITHER","Cannot be weighed — split it, premix it, or raise the batch size",IF($G43&gt;Settings!$B$4*$E43+0.0001,"Held to the scale's resolution, not "&amp;TEXT(Settings!$B$4,"0%"),""))))</f>
        <v/>
      </c>
    </row>
    <row r="44" customFormat="false" ht="15" hidden="false" customHeight="false" outlineLevel="0" collapsed="false">
      <c r="A44" s="21" t="str">
        <f aca="false">IF($B44="","",36)</f>
        <v/>
      </c>
      <c r="B44" s="22"/>
      <c r="C44" s="23"/>
      <c r="D44" s="24" t="str">
        <f aca="false">IF($B44="","",$C44/1000)</f>
        <v/>
      </c>
      <c r="E44" s="25" t="str">
        <f aca="false">IF($B44="","",$D44*$C$4)</f>
        <v/>
      </c>
      <c r="F44" s="26" t="str">
        <f aca="false">IF($B44="","",IF($C44=0,"Listed — not weighed",IF($E44&lt;0,"NEITHER — negative weight",IF($E44&gt;=Settings!$B$19,Settings!$B$6,IF($E44&gt;Settings!$B$14,"NEITHER — over bench capacity",IF($E44&gt;=2*Settings!$B$12,Settings!$B$11,"NEITHER — under bench resolution"))))))</f>
        <v/>
      </c>
      <c r="G44" s="25" t="str">
        <f aca="false">IF($B44="","",IF($F44=Settings!$B$6,MAX(2*Settings!$B$7,Settings!$B$4*$E44),IF($F44=Settings!$B$11,MAX(2*Settings!$B$12,Settings!$B$4*$E44),"")))</f>
        <v/>
      </c>
      <c r="H44" s="27" t="str">
        <f aca="false">IF($B44="","",IF(LEFT($F44,6)="Listed","Quantity 0: shown on the station as a reminder, not weighed. Give it a weight to weigh it.",IF(LEFT($F44,7)="NEITHER","Cannot be weighed — split it, premix it, or raise the batch size",IF($G44&gt;Settings!$B$4*$E44+0.0001,"Held to the scale's resolution, not "&amp;TEXT(Settings!$B$4,"0%"),""))))</f>
        <v/>
      </c>
    </row>
    <row r="45" customFormat="false" ht="15" hidden="false" customHeight="false" outlineLevel="0" collapsed="false">
      <c r="A45" s="21" t="str">
        <f aca="false">IF($B45="","",37)</f>
        <v/>
      </c>
      <c r="B45" s="22"/>
      <c r="C45" s="23"/>
      <c r="D45" s="24" t="str">
        <f aca="false">IF($B45="","",$C45/1000)</f>
        <v/>
      </c>
      <c r="E45" s="25" t="str">
        <f aca="false">IF($B45="","",$D45*$C$4)</f>
        <v/>
      </c>
      <c r="F45" s="26" t="str">
        <f aca="false">IF($B45="","",IF($C45=0,"Listed — not weighed",IF($E45&lt;0,"NEITHER — negative weight",IF($E45&gt;=Settings!$B$19,Settings!$B$6,IF($E45&gt;Settings!$B$14,"NEITHER — over bench capacity",IF($E45&gt;=2*Settings!$B$12,Settings!$B$11,"NEITHER — under bench resolution"))))))</f>
        <v/>
      </c>
      <c r="G45" s="25" t="str">
        <f aca="false">IF($B45="","",IF($F45=Settings!$B$6,MAX(2*Settings!$B$7,Settings!$B$4*$E45),IF($F45=Settings!$B$11,MAX(2*Settings!$B$12,Settings!$B$4*$E45),"")))</f>
        <v/>
      </c>
      <c r="H45" s="27" t="str">
        <f aca="false">IF($B45="","",IF(LEFT($F45,6)="Listed","Quantity 0: shown on the station as a reminder, not weighed. Give it a weight to weigh it.",IF(LEFT($F45,7)="NEITHER","Cannot be weighed — split it, premix it, or raise the batch size",IF($G45&gt;Settings!$B$4*$E45+0.0001,"Held to the scale's resolution, not "&amp;TEXT(Settings!$B$4,"0%"),""))))</f>
        <v/>
      </c>
    </row>
    <row r="46" customFormat="false" ht="15" hidden="false" customHeight="false" outlineLevel="0" collapsed="false">
      <c r="A46" s="21" t="str">
        <f aca="false">IF($B46="","",38)</f>
        <v/>
      </c>
      <c r="B46" s="22"/>
      <c r="C46" s="23"/>
      <c r="D46" s="24" t="str">
        <f aca="false">IF($B46="","",$C46/1000)</f>
        <v/>
      </c>
      <c r="E46" s="25" t="str">
        <f aca="false">IF($B46="","",$D46*$C$4)</f>
        <v/>
      </c>
      <c r="F46" s="26" t="str">
        <f aca="false">IF($B46="","",IF($C46=0,"Listed — not weighed",IF($E46&lt;0,"NEITHER — negative weight",IF($E46&gt;=Settings!$B$19,Settings!$B$6,IF($E46&gt;Settings!$B$14,"NEITHER — over bench capacity",IF($E46&gt;=2*Settings!$B$12,Settings!$B$11,"NEITHER — under bench resolution"))))))</f>
        <v/>
      </c>
      <c r="G46" s="25" t="str">
        <f aca="false">IF($B46="","",IF($F46=Settings!$B$6,MAX(2*Settings!$B$7,Settings!$B$4*$E46),IF($F46=Settings!$B$11,MAX(2*Settings!$B$12,Settings!$B$4*$E46),"")))</f>
        <v/>
      </c>
      <c r="H46" s="27" t="str">
        <f aca="false">IF($B46="","",IF(LEFT($F46,6)="Listed","Quantity 0: shown on the station as a reminder, not weighed. Give it a weight to weigh it.",IF(LEFT($F46,7)="NEITHER","Cannot be weighed — split it, premix it, or raise the batch size",IF($G46&gt;Settings!$B$4*$E46+0.0001,"Held to the scale's resolution, not "&amp;TEXT(Settings!$B$4,"0%"),""))))</f>
        <v/>
      </c>
    </row>
    <row r="47" customFormat="false" ht="15" hidden="false" customHeight="false" outlineLevel="0" collapsed="false">
      <c r="A47" s="21" t="str">
        <f aca="false">IF($B47="","",39)</f>
        <v/>
      </c>
      <c r="B47" s="22"/>
      <c r="C47" s="23"/>
      <c r="D47" s="24" t="str">
        <f aca="false">IF($B47="","",$C47/1000)</f>
        <v/>
      </c>
      <c r="E47" s="25" t="str">
        <f aca="false">IF($B47="","",$D47*$C$4)</f>
        <v/>
      </c>
      <c r="F47" s="26" t="str">
        <f aca="false">IF($B47="","",IF($C47=0,"Listed — not weighed",IF($E47&lt;0,"NEITHER — negative weight",IF($E47&gt;=Settings!$B$19,Settings!$B$6,IF($E47&gt;Settings!$B$14,"NEITHER — over bench capacity",IF($E47&gt;=2*Settings!$B$12,Settings!$B$11,"NEITHER — under bench resolution"))))))</f>
        <v/>
      </c>
      <c r="G47" s="25" t="str">
        <f aca="false">IF($B47="","",IF($F47=Settings!$B$6,MAX(2*Settings!$B$7,Settings!$B$4*$E47),IF($F47=Settings!$B$11,MAX(2*Settings!$B$12,Settings!$B$4*$E47),"")))</f>
        <v/>
      </c>
      <c r="H47" s="27" t="str">
        <f aca="false">IF($B47="","",IF(LEFT($F47,6)="Listed","Quantity 0: shown on the station as a reminder, not weighed. Give it a weight to weigh it.",IF(LEFT($F47,7)="NEITHER","Cannot be weighed — split it, premix it, or raise the batch size",IF($G47&gt;Settings!$B$4*$E47+0.0001,"Held to the scale's resolution, not "&amp;TEXT(Settings!$B$4,"0%"),""))))</f>
        <v/>
      </c>
    </row>
    <row r="48" customFormat="false" ht="15" hidden="false" customHeight="false" outlineLevel="0" collapsed="false">
      <c r="A48" s="21" t="str">
        <f aca="false">IF($B48="","",40)</f>
        <v/>
      </c>
      <c r="B48" s="22"/>
      <c r="C48" s="23"/>
      <c r="D48" s="24" t="str">
        <f aca="false">IF($B48="","",$C48/1000)</f>
        <v/>
      </c>
      <c r="E48" s="25" t="str">
        <f aca="false">IF($B48="","",$D48*$C$4)</f>
        <v/>
      </c>
      <c r="F48" s="26" t="str">
        <f aca="false">IF($B48="","",IF($C48=0,"Listed — not weighed",IF($E48&lt;0,"NEITHER — negative weight",IF($E48&gt;=Settings!$B$19,Settings!$B$6,IF($E48&gt;Settings!$B$14,"NEITHER — over bench capacity",IF($E48&gt;=2*Settings!$B$12,Settings!$B$11,"NEITHER — under bench resolution"))))))</f>
        <v/>
      </c>
      <c r="G48" s="25" t="str">
        <f aca="false">IF($B48="","",IF($F48=Settings!$B$6,MAX(2*Settings!$B$7,Settings!$B$4*$E48),IF($F48=Settings!$B$11,MAX(2*Settings!$B$12,Settings!$B$4*$E48),"")))</f>
        <v/>
      </c>
      <c r="H48" s="27" t="str">
        <f aca="false">IF($B48="","",IF(LEFT($F48,6)="Listed","Quantity 0: shown on the station as a reminder, not weighed. Give it a weight to weigh it.",IF(LEFT($F48,7)="NEITHER","Cannot be weighed — split it, premix it, or raise the batch size",IF($G48&gt;Settings!$B$4*$E48+0.0001,"Held to the scale's resolution, not "&amp;TEXT(Settings!$B$4,"0%"),""))))</f>
        <v/>
      </c>
    </row>
    <row r="50" customFormat="false" ht="15" hidden="false" customHeight="false" outlineLevel="0" collapsed="false">
      <c r="B50" s="17" t="s">
        <v>67</v>
      </c>
      <c r="C50" s="28" t="n">
        <f aca="false">SUM(C9:C48)</f>
        <v>466.981</v>
      </c>
      <c r="D50" s="29" t="n">
        <f aca="false">SUM(D9:D48)</f>
        <v>0.466981</v>
      </c>
      <c r="E50" s="28" t="n">
        <f aca="false">SUM(E9:E48)</f>
        <v>1494.3392</v>
      </c>
    </row>
    <row r="51" customFormat="false" ht="15" hidden="false" customHeight="false" outlineLevel="0" collapsed="false">
      <c r="B51" s="5" t="s">
        <v>68</v>
      </c>
      <c r="E51" s="30" t="n">
        <f aca="false">$C$4+E50</f>
        <v>4694.3392</v>
      </c>
    </row>
    <row r="53" customFormat="false" ht="15" hidden="false" customHeight="false" outlineLevel="0" collapsed="false">
      <c r="B53" s="15" t="str">
        <f aca="false">IF(COUNTIF($F$9:$F$48,"NEITHER*")=0,"All ingredients can be weighed.","WARNING: "&amp;COUNTIF($F$9:$F$48,"NEITHER*")&amp;" ingredient(s) cannot be weighed on either scale — see the Note column.")</f>
        <v>All ingredients can be weighed.</v>
      </c>
      <c r="C53" s="15"/>
      <c r="D53" s="15"/>
      <c r="E53" s="15"/>
      <c r="F53" s="15"/>
      <c r="G53" s="15"/>
      <c r="H53" s="15"/>
    </row>
    <row r="55" customFormat="false" ht="30" hidden="false" customHeight="true" outlineLevel="0" collapsed="false">
      <c r="B55" s="31" t="s">
        <v>86</v>
      </c>
      <c r="C55" s="31"/>
      <c r="D55" s="31"/>
      <c r="E55" s="31"/>
      <c r="F55" s="31"/>
      <c r="G55" s="31"/>
      <c r="H55" s="31"/>
    </row>
  </sheetData>
  <mergeCells count="16">
    <mergeCell ref="A1:H1"/>
    <mergeCell ref="A2:H2"/>
    <mergeCell ref="A3:B3"/>
    <mergeCell ref="D3:H3"/>
    <mergeCell ref="A4:B4"/>
    <mergeCell ref="D4:H4"/>
    <mergeCell ref="A5:B5"/>
    <mergeCell ref="D5:E5"/>
    <mergeCell ref="F5:H5"/>
    <mergeCell ref="A6:B6"/>
    <mergeCell ref="D6:E6"/>
    <mergeCell ref="F6:H6"/>
    <mergeCell ref="A7:B7"/>
    <mergeCell ref="D7:H7"/>
    <mergeCell ref="B53:H53"/>
    <mergeCell ref="B55:H55"/>
  </mergeCells>
  <conditionalFormatting sqref="B53:H53">
    <cfRule type="expression" priority="2" aboveAverage="0" equalAverage="0" bottom="0" percent="0" rank="0" text="" dxfId="0">
      <formula>LEFT($B$53,5)="ERROR"</formula>
    </cfRule>
  </conditionalFormatting>
  <conditionalFormatting sqref="A9:H48">
    <cfRule type="expression" priority="3" aboveAverage="0" equalAverage="0" bottom="0" percent="0" rank="0" text="" dxfId="1">
      <formula>LEFT($F9,7)="NEITHER"</formula>
    </cfRule>
    <cfRule type="expression" priority="4" aboveAverage="0" equalAverage="0" bottom="0" percent="0" rank="0" text="" dxfId="2">
      <formula>AND($B9&lt;&gt;"",$H9&lt;&gt;"")</formula>
    </cfRule>
  </conditionalFormatting>
  <dataValidations count="1">
    <dataValidation allowBlank="true" errorStyle="stop" operator="between" showDropDown="false" showErrorMessage="false" showInputMessage="false" sqref="B9:B48" type="list">
      <formula1>IngredientList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6"/>
    <col collapsed="false" customWidth="true" hidden="false" outlineLevel="0" max="4" min="4" style="0" width="11"/>
    <col collapsed="false" customWidth="true" hidden="false" outlineLevel="0" max="5" min="5" style="0" width="16"/>
    <col collapsed="false" customWidth="true" hidden="false" outlineLevel="0" max="6" min="6" style="0" width="18"/>
    <col collapsed="false" customWidth="true" hidden="false" outlineLevel="0" max="7" min="7" style="0" width="13"/>
    <col collapsed="false" customWidth="true" hidden="false" outlineLevel="0" max="8" min="8" style="0" width="46"/>
  </cols>
  <sheetData>
    <row r="1" customFormat="false" ht="17.35" hidden="false" customHeight="false" outlineLevel="0" collapsed="false">
      <c r="A1" s="1" t="s">
        <v>120</v>
      </c>
      <c r="B1" s="1"/>
      <c r="C1" s="1"/>
      <c r="D1" s="1"/>
      <c r="E1" s="1"/>
      <c r="F1" s="1"/>
      <c r="G1" s="1"/>
      <c r="H1" s="1"/>
    </row>
    <row r="2" customFormat="false" ht="15" hidden="false" customHeight="false" outlineLevel="0" collapsed="false">
      <c r="A2" s="2" t="s">
        <v>44</v>
      </c>
      <c r="B2" s="2"/>
      <c r="C2" s="2"/>
      <c r="D2" s="2"/>
      <c r="E2" s="2"/>
      <c r="F2" s="2"/>
      <c r="G2" s="2"/>
      <c r="H2" s="2"/>
    </row>
    <row r="3" customFormat="false" ht="15" hidden="false" customHeight="false" outlineLevel="0" collapsed="false">
      <c r="A3" s="16" t="s">
        <v>45</v>
      </c>
      <c r="B3" s="16"/>
      <c r="C3" s="17" t="s">
        <v>46</v>
      </c>
      <c r="D3" s="2" t="s">
        <v>47</v>
      </c>
      <c r="E3" s="2"/>
      <c r="F3" s="2"/>
      <c r="G3" s="2"/>
      <c r="H3" s="2"/>
    </row>
    <row r="4" customFormat="false" ht="15" hidden="false" customHeight="false" outlineLevel="0" collapsed="false">
      <c r="A4" s="16" t="s">
        <v>48</v>
      </c>
      <c r="B4" s="16"/>
      <c r="C4" s="18" t="n">
        <v>3200</v>
      </c>
      <c r="D4" s="2" t="s">
        <v>49</v>
      </c>
      <c r="E4" s="2"/>
      <c r="F4" s="2"/>
      <c r="G4" s="2"/>
      <c r="H4" s="2"/>
    </row>
    <row r="5" customFormat="false" ht="15" hidden="false" customHeight="false" outlineLevel="0" collapsed="false">
      <c r="A5" s="16" t="s">
        <v>50</v>
      </c>
      <c r="B5" s="16"/>
      <c r="C5" s="8" t="s">
        <v>121</v>
      </c>
      <c r="D5" s="16" t="s">
        <v>52</v>
      </c>
      <c r="E5" s="16"/>
      <c r="F5" s="19" t="s">
        <v>53</v>
      </c>
      <c r="G5" s="19"/>
      <c r="H5" s="19"/>
    </row>
    <row r="6" customFormat="false" ht="15" hidden="false" customHeight="false" outlineLevel="0" collapsed="false">
      <c r="A6" s="16" t="s">
        <v>54</v>
      </c>
      <c r="B6" s="16"/>
      <c r="C6" s="8"/>
      <c r="D6" s="16" t="s">
        <v>55</v>
      </c>
      <c r="E6" s="16"/>
      <c r="F6" s="19"/>
      <c r="G6" s="19"/>
      <c r="H6" s="19"/>
    </row>
    <row r="7" customFormat="false" ht="15" hidden="false" customHeight="false" outlineLevel="0" collapsed="false">
      <c r="A7" s="16" t="s">
        <v>56</v>
      </c>
      <c r="B7" s="16"/>
      <c r="C7" s="8"/>
      <c r="D7" s="2" t="s">
        <v>57</v>
      </c>
      <c r="E7" s="2"/>
      <c r="F7" s="2"/>
      <c r="G7" s="2"/>
      <c r="H7" s="2"/>
    </row>
    <row r="8" customFormat="false" ht="23.85" hidden="false" customHeight="false" outlineLevel="0" collapsed="false">
      <c r="A8" s="20" t="s">
        <v>58</v>
      </c>
      <c r="B8" s="20" t="s">
        <v>59</v>
      </c>
      <c r="C8" s="20" t="s">
        <v>60</v>
      </c>
      <c r="D8" s="20" t="s">
        <v>61</v>
      </c>
      <c r="E8" s="20" t="s">
        <v>62</v>
      </c>
      <c r="F8" s="20" t="s">
        <v>63</v>
      </c>
      <c r="G8" s="20" t="s">
        <v>64</v>
      </c>
      <c r="H8" s="20" t="s">
        <v>65</v>
      </c>
    </row>
    <row r="9" customFormat="false" ht="15" hidden="false" customHeight="false" outlineLevel="0" collapsed="false">
      <c r="A9" s="21" t="n">
        <f aca="false">IF($B9="","",1)</f>
        <v>1</v>
      </c>
      <c r="B9" s="22" t="s">
        <v>122</v>
      </c>
      <c r="C9" s="23" t="n">
        <v>200</v>
      </c>
      <c r="D9" s="24" t="n">
        <f aca="false">IF($B9="","",$C9/1000)</f>
        <v>0.2</v>
      </c>
      <c r="E9" s="25" t="n">
        <f aca="false">IF($B9="","",$D9*$C$4)</f>
        <v>640</v>
      </c>
      <c r="F9" s="26" t="str">
        <f aca="false">IF($B9="","",IF($C9=0,"Listed — not weighed",IF($E9&lt;0,"NEITHER — negative weight",IF($E9&gt;=Settings!$B$19,Settings!$B$6,IF($E9&gt;Settings!$B$14,"NEITHER — over bench capacity",IF($E9&gt;=2*Settings!$B$12,Settings!$B$11,"NEITHER — under bench resolution"))))))</f>
        <v>Main scale</v>
      </c>
      <c r="G9" s="25" t="n">
        <f aca="false">IF($B9="","",IF($F9=Settings!$B$6,MAX(2*Settings!$B$7,Settings!$B$4*$E9),IF($F9=Settings!$B$11,MAX(2*Settings!$B$12,Settings!$B$4*$E9),"")))</f>
        <v>12.8</v>
      </c>
      <c r="H9" s="27" t="str">
        <f aca="false">IF($B9="","",IF(LEFT($F9,6)="Listed","Quantity 0: shown on the station as a reminder, not weighed. Give it a weight to weigh it.",IF(LEFT($F9,7)="NEITHER","Cannot be weighed — split it, premix it, or raise the batch size",IF($G9&gt;Settings!$B$4*$E9+0.0001,"Held to the scale's resolution, not "&amp;TEXT(Settings!$B$4,"0%"),""))))</f>
        <v/>
      </c>
    </row>
    <row r="10" customFormat="false" ht="15" hidden="false" customHeight="false" outlineLevel="0" collapsed="false">
      <c r="A10" s="21" t="n">
        <f aca="false">IF($B10="","",2)</f>
        <v>2</v>
      </c>
      <c r="B10" s="22" t="s">
        <v>123</v>
      </c>
      <c r="C10" s="23" t="n">
        <v>75</v>
      </c>
      <c r="D10" s="24" t="n">
        <f aca="false">IF($B10="","",$C10/1000)</f>
        <v>0.075</v>
      </c>
      <c r="E10" s="25" t="n">
        <f aca="false">IF($B10="","",$D10*$C$4)</f>
        <v>240</v>
      </c>
      <c r="F10" s="26" t="str">
        <f aca="false">IF($B10="","",IF($C10=0,"Listed — not weighed",IF($E10&lt;0,"NEITHER — negative weight",IF($E10&gt;=Settings!$B$19,Settings!$B$6,IF($E10&gt;Settings!$B$14,"NEITHER — over bench capacity",IF($E10&gt;=2*Settings!$B$12,Settings!$B$11,"NEITHER — under bench resolution"))))))</f>
        <v>Main scale</v>
      </c>
      <c r="G10" s="25" t="n">
        <f aca="false">IF($B10="","",IF($F10=Settings!$B$6,MAX(2*Settings!$B$7,Settings!$B$4*$E10),IF($F10=Settings!$B$11,MAX(2*Settings!$B$12,Settings!$B$4*$E10),"")))</f>
        <v>4.8</v>
      </c>
      <c r="H10" s="27" t="str">
        <f aca="false">IF($B10="","",IF(LEFT($F10,6)="Listed","Quantity 0: shown on the station as a reminder, not weighed. Give it a weight to weigh it.",IF(LEFT($F10,7)="NEITHER","Cannot be weighed — split it, premix it, or raise the batch size",IF($G10&gt;Settings!$B$4*$E10+0.0001,"Held to the scale's resolution, not "&amp;TEXT(Settings!$B$4,"0%"),""))))</f>
        <v/>
      </c>
    </row>
    <row r="11" customFormat="false" ht="15" hidden="false" customHeight="false" outlineLevel="0" collapsed="false">
      <c r="A11" s="21" t="n">
        <f aca="false">IF($B11="","",3)</f>
        <v>3</v>
      </c>
      <c r="B11" s="22" t="s">
        <v>124</v>
      </c>
      <c r="C11" s="23" t="n">
        <v>20</v>
      </c>
      <c r="D11" s="24" t="n">
        <f aca="false">IF($B11="","",$C11/1000)</f>
        <v>0.02</v>
      </c>
      <c r="E11" s="25" t="n">
        <f aca="false">IF($B11="","",$D11*$C$4)</f>
        <v>64</v>
      </c>
      <c r="F11" s="26" t="str">
        <f aca="false">IF($B11="","",IF($C11=0,"Listed — not weighed",IF($E11&lt;0,"NEITHER — negative weight",IF($E11&gt;=Settings!$B$19,Settings!$B$6,IF($E11&gt;Settings!$B$14,"NEITHER — over bench capacity",IF($E11&gt;=2*Settings!$B$12,Settings!$B$11,"NEITHER — under bench resolution"))))))</f>
        <v>Main scale</v>
      </c>
      <c r="G11" s="25" t="n">
        <f aca="false">IF($B11="","",IF($F11=Settings!$B$6,MAX(2*Settings!$B$7,Settings!$B$4*$E11),IF($F11=Settings!$B$11,MAX(2*Settings!$B$12,Settings!$B$4*$E11),"")))</f>
        <v>2</v>
      </c>
      <c r="H11" s="27" t="str">
        <f aca="false">IF($B11="","",IF(LEFT($F11,6)="Listed","Quantity 0: shown on the station as a reminder, not weighed. Give it a weight to weigh it.",IF(LEFT($F11,7)="NEITHER","Cannot be weighed — split it, premix it, or raise the batch size",IF($G11&gt;Settings!$B$4*$E11+0.0001,"Held to the scale's resolution, not "&amp;TEXT(Settings!$B$4,"0%"),""))))</f>
        <v>Held to the scale's resolution, not 2%</v>
      </c>
    </row>
    <row r="12" customFormat="false" ht="15" hidden="false" customHeight="false" outlineLevel="0" collapsed="false">
      <c r="A12" s="21" t="n">
        <f aca="false">IF($B12="","",4)</f>
        <v>4</v>
      </c>
      <c r="B12" s="22" t="s">
        <v>125</v>
      </c>
      <c r="C12" s="23" t="n">
        <v>15</v>
      </c>
      <c r="D12" s="24" t="n">
        <f aca="false">IF($B12="","",$C12/1000)</f>
        <v>0.015</v>
      </c>
      <c r="E12" s="25" t="n">
        <f aca="false">IF($B12="","",$D12*$C$4)</f>
        <v>48</v>
      </c>
      <c r="F12" s="26" t="str">
        <f aca="false">IF($B12="","",IF($C12=0,"Listed — not weighed",IF($E12&lt;0,"NEITHER — negative weight",IF($E12&gt;=Settings!$B$19,Settings!$B$6,IF($E12&gt;Settings!$B$14,"NEITHER — over bench capacity",IF($E12&gt;=2*Settings!$B$12,Settings!$B$11,"NEITHER — under bench resolution"))))))</f>
        <v>Main scale</v>
      </c>
      <c r="G12" s="25" t="n">
        <f aca="false">IF($B12="","",IF($F12=Settings!$B$6,MAX(2*Settings!$B$7,Settings!$B$4*$E12),IF($F12=Settings!$B$11,MAX(2*Settings!$B$12,Settings!$B$4*$E12),"")))</f>
        <v>2</v>
      </c>
      <c r="H12" s="27" t="str">
        <f aca="false">IF($B12="","",IF(LEFT($F12,6)="Listed","Quantity 0: shown on the station as a reminder, not weighed. Give it a weight to weigh it.",IF(LEFT($F12,7)="NEITHER","Cannot be weighed — split it, premix it, or raise the batch size",IF($G12&gt;Settings!$B$4*$E12+0.0001,"Held to the scale's resolution, not "&amp;TEXT(Settings!$B$4,"0%"),""))))</f>
        <v>Held to the scale's resolution, not 2%</v>
      </c>
    </row>
    <row r="13" customFormat="false" ht="15" hidden="false" customHeight="false" outlineLevel="0" collapsed="false">
      <c r="A13" s="21" t="n">
        <f aca="false">IF($B13="","",5)</f>
        <v>5</v>
      </c>
      <c r="B13" s="22" t="s">
        <v>126</v>
      </c>
      <c r="C13" s="23" t="n">
        <v>2</v>
      </c>
      <c r="D13" s="24" t="n">
        <f aca="false">IF($B13="","",$C13/1000)</f>
        <v>0.002</v>
      </c>
      <c r="E13" s="25" t="n">
        <f aca="false">IF($B13="","",$D13*$C$4)</f>
        <v>6.4</v>
      </c>
      <c r="F13" s="26" t="str">
        <f aca="false">IF($B13="","",IF($C13=0,"Listed — not weighed",IF($E13&lt;0,"NEITHER — negative weight",IF($E13&gt;=Settings!$B$19,Settings!$B$6,IF($E13&gt;Settings!$B$14,"NEITHER — over bench capacity",IF($E13&gt;=2*Settings!$B$12,Settings!$B$11,"NEITHER — under bench resolution"))))))</f>
        <v>Main scale</v>
      </c>
      <c r="G13" s="25" t="n">
        <f aca="false">IF($B13="","",IF($F13=Settings!$B$6,MAX(2*Settings!$B$7,Settings!$B$4*$E13),IF($F13=Settings!$B$11,MAX(2*Settings!$B$12,Settings!$B$4*$E13),"")))</f>
        <v>2</v>
      </c>
      <c r="H13" s="27" t="str">
        <f aca="false">IF($B13="","",IF(LEFT($F13,6)="Listed","Quantity 0: shown on the station as a reminder, not weighed. Give it a weight to weigh it.",IF(LEFT($F13,7)="NEITHER","Cannot be weighed — split it, premix it, or raise the batch size",IF($G13&gt;Settings!$B$4*$E13+0.0001,"Held to the scale's resolution, not "&amp;TEXT(Settings!$B$4,"0%"),""))))</f>
        <v>Held to the scale's resolution, not 2%</v>
      </c>
    </row>
    <row r="14" customFormat="false" ht="15" hidden="false" customHeight="false" outlineLevel="0" collapsed="false">
      <c r="A14" s="21" t="n">
        <f aca="false">IF($B14="","",6)</f>
        <v>6</v>
      </c>
      <c r="B14" s="22" t="s">
        <v>127</v>
      </c>
      <c r="C14" s="23" t="n">
        <v>1.6</v>
      </c>
      <c r="D14" s="24" t="n">
        <f aca="false">IF($B14="","",$C14/1000)</f>
        <v>0.0016</v>
      </c>
      <c r="E14" s="25" t="n">
        <f aca="false">IF($B14="","",$D14*$C$4)</f>
        <v>5.12</v>
      </c>
      <c r="F14" s="26" t="str">
        <f aca="false">IF($B14="","",IF($C14=0,"Listed — not weighed",IF($E14&lt;0,"NEITHER — negative weight",IF($E14&gt;=Settings!$B$19,Settings!$B$6,IF($E14&gt;Settings!$B$14,"NEITHER — over bench capacity",IF($E14&gt;=2*Settings!$B$12,Settings!$B$11,"NEITHER — under bench resolution"))))))</f>
        <v>Main scale</v>
      </c>
      <c r="G14" s="25" t="n">
        <f aca="false">IF($B14="","",IF($F14=Settings!$B$6,MAX(2*Settings!$B$7,Settings!$B$4*$E14),IF($F14=Settings!$B$11,MAX(2*Settings!$B$12,Settings!$B$4*$E14),"")))</f>
        <v>2</v>
      </c>
      <c r="H14" s="27" t="str">
        <f aca="false">IF($B14="","",IF(LEFT($F14,6)="Listed","Quantity 0: shown on the station as a reminder, not weighed. Give it a weight to weigh it.",IF(LEFT($F14,7)="NEITHER","Cannot be weighed — split it, premix it, or raise the batch size",IF($G14&gt;Settings!$B$4*$E14+0.0001,"Held to the scale's resolution, not "&amp;TEXT(Settings!$B$4,"0%"),""))))</f>
        <v>Held to the scale's resolution, not 2%</v>
      </c>
    </row>
    <row r="15" customFormat="false" ht="15" hidden="false" customHeight="false" outlineLevel="0" collapsed="false">
      <c r="A15" s="21" t="n">
        <f aca="false">IF($B15="","",7)</f>
        <v>7</v>
      </c>
      <c r="B15" s="22" t="s">
        <v>128</v>
      </c>
      <c r="C15" s="23" t="n">
        <v>2</v>
      </c>
      <c r="D15" s="24" t="n">
        <f aca="false">IF($B15="","",$C15/1000)</f>
        <v>0.002</v>
      </c>
      <c r="E15" s="25" t="n">
        <f aca="false">IF($B15="","",$D15*$C$4)</f>
        <v>6.4</v>
      </c>
      <c r="F15" s="26" t="str">
        <f aca="false">IF($B15="","",IF($C15=0,"Listed — not weighed",IF($E15&lt;0,"NEITHER — negative weight",IF($E15&gt;=Settings!$B$19,Settings!$B$6,IF($E15&gt;Settings!$B$14,"NEITHER — over bench capacity",IF($E15&gt;=2*Settings!$B$12,Settings!$B$11,"NEITHER — under bench resolution"))))))</f>
        <v>Main scale</v>
      </c>
      <c r="G15" s="25" t="n">
        <f aca="false">IF($B15="","",IF($F15=Settings!$B$6,MAX(2*Settings!$B$7,Settings!$B$4*$E15),IF($F15=Settings!$B$11,MAX(2*Settings!$B$12,Settings!$B$4*$E15),"")))</f>
        <v>2</v>
      </c>
      <c r="H15" s="27" t="str">
        <f aca="false">IF($B15="","",IF(LEFT($F15,6)="Listed","Quantity 0: shown on the station as a reminder, not weighed. Give it a weight to weigh it.",IF(LEFT($F15,7)="NEITHER","Cannot be weighed — split it, premix it, or raise the batch size",IF($G15&gt;Settings!$B$4*$E15+0.0001,"Held to the scale's resolution, not "&amp;TEXT(Settings!$B$4,"0%"),""))))</f>
        <v>Held to the scale's resolution, not 2%</v>
      </c>
    </row>
    <row r="16" customFormat="false" ht="15" hidden="false" customHeight="false" outlineLevel="0" collapsed="false">
      <c r="A16" s="21" t="n">
        <f aca="false">IF($B16="","",8)</f>
        <v>8</v>
      </c>
      <c r="B16" s="22" t="s">
        <v>129</v>
      </c>
      <c r="C16" s="23" t="n">
        <v>2</v>
      </c>
      <c r="D16" s="24" t="n">
        <f aca="false">IF($B16="","",$C16/1000)</f>
        <v>0.002</v>
      </c>
      <c r="E16" s="25" t="n">
        <f aca="false">IF($B16="","",$D16*$C$4)</f>
        <v>6.4</v>
      </c>
      <c r="F16" s="26" t="str">
        <f aca="false">IF($B16="","",IF($C16=0,"Listed — not weighed",IF($E16&lt;0,"NEITHER — negative weight",IF($E16&gt;=Settings!$B$19,Settings!$B$6,IF($E16&gt;Settings!$B$14,"NEITHER — over bench capacity",IF($E16&gt;=2*Settings!$B$12,Settings!$B$11,"NEITHER — under bench resolution"))))))</f>
        <v>Main scale</v>
      </c>
      <c r="G16" s="25" t="n">
        <f aca="false">IF($B16="","",IF($F16=Settings!$B$6,MAX(2*Settings!$B$7,Settings!$B$4*$E16),IF($F16=Settings!$B$11,MAX(2*Settings!$B$12,Settings!$B$4*$E16),"")))</f>
        <v>2</v>
      </c>
      <c r="H16" s="27" t="str">
        <f aca="false">IF($B16="","",IF(LEFT($F16,6)="Listed","Quantity 0: shown on the station as a reminder, not weighed. Give it a weight to weigh it.",IF(LEFT($F16,7)="NEITHER","Cannot be weighed — split it, premix it, or raise the batch size",IF($G16&gt;Settings!$B$4*$E16+0.0001,"Held to the scale's resolution, not "&amp;TEXT(Settings!$B$4,"0%"),""))))</f>
        <v>Held to the scale's resolution, not 2%</v>
      </c>
    </row>
    <row r="17" customFormat="false" ht="15" hidden="false" customHeight="false" outlineLevel="0" collapsed="false">
      <c r="A17" s="21" t="n">
        <f aca="false">IF($B17="","",9)</f>
        <v>9</v>
      </c>
      <c r="B17" s="22" t="s">
        <v>130</v>
      </c>
      <c r="C17" s="23" t="n">
        <v>15</v>
      </c>
      <c r="D17" s="24" t="n">
        <f aca="false">IF($B17="","",$C17/1000)</f>
        <v>0.015</v>
      </c>
      <c r="E17" s="25" t="n">
        <f aca="false">IF($B17="","",$D17*$C$4)</f>
        <v>48</v>
      </c>
      <c r="F17" s="26" t="str">
        <f aca="false">IF($B17="","",IF($C17=0,"Listed — not weighed",IF($E17&lt;0,"NEITHER — negative weight",IF($E17&gt;=Settings!$B$19,Settings!$B$6,IF($E17&gt;Settings!$B$14,"NEITHER — over bench capacity",IF($E17&gt;=2*Settings!$B$12,Settings!$B$11,"NEITHER — under bench resolution"))))))</f>
        <v>Main scale</v>
      </c>
      <c r="G17" s="25" t="n">
        <f aca="false">IF($B17="","",IF($F17=Settings!$B$6,MAX(2*Settings!$B$7,Settings!$B$4*$E17),IF($F17=Settings!$B$11,MAX(2*Settings!$B$12,Settings!$B$4*$E17),"")))</f>
        <v>2</v>
      </c>
      <c r="H17" s="27" t="str">
        <f aca="false">IF($B17="","",IF(LEFT($F17,6)="Listed","Quantity 0: shown on the station as a reminder, not weighed. Give it a weight to weigh it.",IF(LEFT($F17,7)="NEITHER","Cannot be weighed — split it, premix it, or raise the batch size",IF($G17&gt;Settings!$B$4*$E17+0.0001,"Held to the scale's resolution, not "&amp;TEXT(Settings!$B$4,"0%"),""))))</f>
        <v>Held to the scale's resolution, not 2%</v>
      </c>
    </row>
    <row r="18" customFormat="false" ht="15" hidden="false" customHeight="false" outlineLevel="0" collapsed="false">
      <c r="A18" s="21" t="n">
        <f aca="false">IF($B18="","",10)</f>
        <v>10</v>
      </c>
      <c r="B18" s="22" t="s">
        <v>131</v>
      </c>
      <c r="C18" s="23" t="n">
        <v>2.5</v>
      </c>
      <c r="D18" s="24" t="n">
        <f aca="false">IF($B18="","",$C18/1000)</f>
        <v>0.0025</v>
      </c>
      <c r="E18" s="25" t="n">
        <f aca="false">IF($B18="","",$D18*$C$4)</f>
        <v>8</v>
      </c>
      <c r="F18" s="26" t="str">
        <f aca="false">IF($B18="","",IF($C18=0,"Listed — not weighed",IF($E18&lt;0,"NEITHER — negative weight",IF($E18&gt;=Settings!$B$19,Settings!$B$6,IF($E18&gt;Settings!$B$14,"NEITHER — over bench capacity",IF($E18&gt;=2*Settings!$B$12,Settings!$B$11,"NEITHER — under bench resolution"))))))</f>
        <v>Main scale</v>
      </c>
      <c r="G18" s="25" t="n">
        <f aca="false">IF($B18="","",IF($F18=Settings!$B$6,MAX(2*Settings!$B$7,Settings!$B$4*$E18),IF($F18=Settings!$B$11,MAX(2*Settings!$B$12,Settings!$B$4*$E18),"")))</f>
        <v>2</v>
      </c>
      <c r="H18" s="27" t="str">
        <f aca="false">IF($B18="","",IF(LEFT($F18,6)="Listed","Quantity 0: shown on the station as a reminder, not weighed. Give it a weight to weigh it.",IF(LEFT($F18,7)="NEITHER","Cannot be weighed — split it, premix it, or raise the batch size",IF($G18&gt;Settings!$B$4*$E18+0.0001,"Held to the scale's resolution, not "&amp;TEXT(Settings!$B$4,"0%"),""))))</f>
        <v>Held to the scale's resolution, not 2%</v>
      </c>
    </row>
    <row r="19" customFormat="false" ht="15" hidden="false" customHeight="false" outlineLevel="0" collapsed="false">
      <c r="A19" s="21" t="n">
        <f aca="false">IF($B19="","",11)</f>
        <v>11</v>
      </c>
      <c r="B19" s="22" t="s">
        <v>94</v>
      </c>
      <c r="C19" s="23" t="n">
        <v>1</v>
      </c>
      <c r="D19" s="24" t="n">
        <f aca="false">IF($B19="","",$C19/1000)</f>
        <v>0.001</v>
      </c>
      <c r="E19" s="25" t="n">
        <f aca="false">IF($B19="","",$D19*$C$4)</f>
        <v>3.2</v>
      </c>
      <c r="F19" s="26" t="str">
        <f aca="false">IF($B19="","",IF($C19=0,"Listed — not weighed",IF($E19&lt;0,"NEITHER — negative weight",IF($E19&gt;=Settings!$B$19,Settings!$B$6,IF($E19&gt;Settings!$B$14,"NEITHER — over bench capacity",IF($E19&gt;=2*Settings!$B$12,Settings!$B$11,"NEITHER — under bench resolution"))))))</f>
        <v>Small scale</v>
      </c>
      <c r="G19" s="25" t="n">
        <f aca="false">IF($B19="","",IF($F19=Settings!$B$6,MAX(2*Settings!$B$7,Settings!$B$4*$E19),IF($F19=Settings!$B$11,MAX(2*Settings!$B$12,Settings!$B$4*$E19),"")))</f>
        <v>0.2</v>
      </c>
      <c r="H19" s="27" t="str">
        <f aca="false">IF($B19="","",IF(LEFT($F19,6)="Listed","Quantity 0: shown on the station as a reminder, not weighed. Give it a weight to weigh it.",IF(LEFT($F19,7)="NEITHER","Cannot be weighed — split it, premix it, or raise the batch size",IF($G19&gt;Settings!$B$4*$E19+0.0001,"Held to the scale's resolution, not "&amp;TEXT(Settings!$B$4,"0%"),""))))</f>
        <v>Held to the scale's resolution, not 2%</v>
      </c>
    </row>
    <row r="20" customFormat="false" ht="15" hidden="false" customHeight="false" outlineLevel="0" collapsed="false">
      <c r="A20" s="21" t="n">
        <f aca="false">IF($B20="","",12)</f>
        <v>12</v>
      </c>
      <c r="B20" s="22" t="s">
        <v>91</v>
      </c>
      <c r="C20" s="23" t="n">
        <v>2</v>
      </c>
      <c r="D20" s="24" t="n">
        <f aca="false">IF($B20="","",$C20/1000)</f>
        <v>0.002</v>
      </c>
      <c r="E20" s="25" t="n">
        <f aca="false">IF($B20="","",$D20*$C$4)</f>
        <v>6.4</v>
      </c>
      <c r="F20" s="26" t="str">
        <f aca="false">IF($B20="","",IF($C20=0,"Listed — not weighed",IF($E20&lt;0,"NEITHER — negative weight",IF($E20&gt;=Settings!$B$19,Settings!$B$6,IF($E20&gt;Settings!$B$14,"NEITHER — over bench capacity",IF($E20&gt;=2*Settings!$B$12,Settings!$B$11,"NEITHER — under bench resolution"))))))</f>
        <v>Main scale</v>
      </c>
      <c r="G20" s="25" t="n">
        <f aca="false">IF($B20="","",IF($F20=Settings!$B$6,MAX(2*Settings!$B$7,Settings!$B$4*$E20),IF($F20=Settings!$B$11,MAX(2*Settings!$B$12,Settings!$B$4*$E20),"")))</f>
        <v>2</v>
      </c>
      <c r="H20" s="27" t="str">
        <f aca="false">IF($B20="","",IF(LEFT($F20,6)="Listed","Quantity 0: shown on the station as a reminder, not weighed. Give it a weight to weigh it.",IF(LEFT($F20,7)="NEITHER","Cannot be weighed — split it, premix it, or raise the batch size",IF($G20&gt;Settings!$B$4*$E20+0.0001,"Held to the scale's resolution, not "&amp;TEXT(Settings!$B$4,"0%"),""))))</f>
        <v>Held to the scale's resolution, not 2%</v>
      </c>
    </row>
    <row r="21" customFormat="false" ht="15" hidden="false" customHeight="false" outlineLevel="0" collapsed="false">
      <c r="A21" s="21" t="str">
        <f aca="false">IF($B21="","",13)</f>
        <v/>
      </c>
      <c r="B21" s="22"/>
      <c r="C21" s="23"/>
      <c r="D21" s="24" t="str">
        <f aca="false">IF($B21="","",$C21/1000)</f>
        <v/>
      </c>
      <c r="E21" s="25" t="str">
        <f aca="false">IF($B21="","",$D21*$C$4)</f>
        <v/>
      </c>
      <c r="F21" s="26" t="str">
        <f aca="false">IF($B21="","",IF($C21=0,"Listed — not weighed",IF($E21&lt;0,"NEITHER — negative weight",IF($E21&gt;=Settings!$B$19,Settings!$B$6,IF($E21&gt;Settings!$B$14,"NEITHER — over bench capacity",IF($E21&gt;=2*Settings!$B$12,Settings!$B$11,"NEITHER — under bench resolution"))))))</f>
        <v/>
      </c>
      <c r="G21" s="25" t="str">
        <f aca="false">IF($B21="","",IF($F21=Settings!$B$6,MAX(2*Settings!$B$7,Settings!$B$4*$E21),IF($F21=Settings!$B$11,MAX(2*Settings!$B$12,Settings!$B$4*$E21),"")))</f>
        <v/>
      </c>
      <c r="H21" s="27" t="str">
        <f aca="false">IF($B21="","",IF(LEFT($F21,6)="Listed","Quantity 0: shown on the station as a reminder, not weighed. Give it a weight to weigh it.",IF(LEFT($F21,7)="NEITHER","Cannot be weighed — split it, premix it, or raise the batch size",IF($G21&gt;Settings!$B$4*$E21+0.0001,"Held to the scale's resolution, not "&amp;TEXT(Settings!$B$4,"0%"),""))))</f>
        <v/>
      </c>
    </row>
    <row r="22" customFormat="false" ht="15" hidden="false" customHeight="false" outlineLevel="0" collapsed="false">
      <c r="A22" s="21" t="str">
        <f aca="false">IF($B22="","",14)</f>
        <v/>
      </c>
      <c r="B22" s="22"/>
      <c r="C22" s="23"/>
      <c r="D22" s="24" t="str">
        <f aca="false">IF($B22="","",$C22/1000)</f>
        <v/>
      </c>
      <c r="E22" s="25" t="str">
        <f aca="false">IF($B22="","",$D22*$C$4)</f>
        <v/>
      </c>
      <c r="F22" s="26" t="str">
        <f aca="false">IF($B22="","",IF($C22=0,"Listed — not weighed",IF($E22&lt;0,"NEITHER — negative weight",IF($E22&gt;=Settings!$B$19,Settings!$B$6,IF($E22&gt;Settings!$B$14,"NEITHER — over bench capacity",IF($E22&gt;=2*Settings!$B$12,Settings!$B$11,"NEITHER — under bench resolution"))))))</f>
        <v/>
      </c>
      <c r="G22" s="25" t="str">
        <f aca="false">IF($B22="","",IF($F22=Settings!$B$6,MAX(2*Settings!$B$7,Settings!$B$4*$E22),IF($F22=Settings!$B$11,MAX(2*Settings!$B$12,Settings!$B$4*$E22),"")))</f>
        <v/>
      </c>
      <c r="H22" s="27" t="str">
        <f aca="false">IF($B22="","",IF(LEFT($F22,6)="Listed","Quantity 0: shown on the station as a reminder, not weighed. Give it a weight to weigh it.",IF(LEFT($F22,7)="NEITHER","Cannot be weighed — split it, premix it, or raise the batch size",IF($G22&gt;Settings!$B$4*$E22+0.0001,"Held to the scale's resolution, not "&amp;TEXT(Settings!$B$4,"0%"),""))))</f>
        <v/>
      </c>
    </row>
    <row r="23" customFormat="false" ht="15" hidden="false" customHeight="false" outlineLevel="0" collapsed="false">
      <c r="A23" s="21" t="str">
        <f aca="false">IF($B23="","",15)</f>
        <v/>
      </c>
      <c r="B23" s="22"/>
      <c r="C23" s="23"/>
      <c r="D23" s="24" t="str">
        <f aca="false">IF($B23="","",$C23/1000)</f>
        <v/>
      </c>
      <c r="E23" s="25" t="str">
        <f aca="false">IF($B23="","",$D23*$C$4)</f>
        <v/>
      </c>
      <c r="F23" s="26" t="str">
        <f aca="false">IF($B23="","",IF($C23=0,"Listed — not weighed",IF($E23&lt;0,"NEITHER — negative weight",IF($E23&gt;=Settings!$B$19,Settings!$B$6,IF($E23&gt;Settings!$B$14,"NEITHER — over bench capacity",IF($E23&gt;=2*Settings!$B$12,Settings!$B$11,"NEITHER — under bench resolution"))))))</f>
        <v/>
      </c>
      <c r="G23" s="25" t="str">
        <f aca="false">IF($B23="","",IF($F23=Settings!$B$6,MAX(2*Settings!$B$7,Settings!$B$4*$E23),IF($F23=Settings!$B$11,MAX(2*Settings!$B$12,Settings!$B$4*$E23),"")))</f>
        <v/>
      </c>
      <c r="H23" s="27" t="str">
        <f aca="false">IF($B23="","",IF(LEFT($F23,6)="Listed","Quantity 0: shown on the station as a reminder, not weighed. Give it a weight to weigh it.",IF(LEFT($F23,7)="NEITHER","Cannot be weighed — split it, premix it, or raise the batch size",IF($G23&gt;Settings!$B$4*$E23+0.0001,"Held to the scale's resolution, not "&amp;TEXT(Settings!$B$4,"0%"),""))))</f>
        <v/>
      </c>
    </row>
    <row r="24" customFormat="false" ht="15" hidden="false" customHeight="false" outlineLevel="0" collapsed="false">
      <c r="A24" s="21" t="str">
        <f aca="false">IF($B24="","",16)</f>
        <v/>
      </c>
      <c r="B24" s="22"/>
      <c r="C24" s="23"/>
      <c r="D24" s="24" t="str">
        <f aca="false">IF($B24="","",$C24/1000)</f>
        <v/>
      </c>
      <c r="E24" s="25" t="str">
        <f aca="false">IF($B24="","",$D24*$C$4)</f>
        <v/>
      </c>
      <c r="F24" s="26" t="str">
        <f aca="false">IF($B24="","",IF($C24=0,"Listed — not weighed",IF($E24&lt;0,"NEITHER — negative weight",IF($E24&gt;=Settings!$B$19,Settings!$B$6,IF($E24&gt;Settings!$B$14,"NEITHER — over bench capacity",IF($E24&gt;=2*Settings!$B$12,Settings!$B$11,"NEITHER — under bench resolution"))))))</f>
        <v/>
      </c>
      <c r="G24" s="25" t="str">
        <f aca="false">IF($B24="","",IF($F24=Settings!$B$6,MAX(2*Settings!$B$7,Settings!$B$4*$E24),IF($F24=Settings!$B$11,MAX(2*Settings!$B$12,Settings!$B$4*$E24),"")))</f>
        <v/>
      </c>
      <c r="H24" s="27" t="str">
        <f aca="false">IF($B24="","",IF(LEFT($F24,6)="Listed","Quantity 0: shown on the station as a reminder, not weighed. Give it a weight to weigh it.",IF(LEFT($F24,7)="NEITHER","Cannot be weighed — split it, premix it, or raise the batch size",IF($G24&gt;Settings!$B$4*$E24+0.0001,"Held to the scale's resolution, not "&amp;TEXT(Settings!$B$4,"0%"),""))))</f>
        <v/>
      </c>
    </row>
    <row r="25" customFormat="false" ht="15" hidden="false" customHeight="false" outlineLevel="0" collapsed="false">
      <c r="A25" s="21" t="str">
        <f aca="false">IF($B25="","",17)</f>
        <v/>
      </c>
      <c r="B25" s="22"/>
      <c r="C25" s="23"/>
      <c r="D25" s="24" t="str">
        <f aca="false">IF($B25="","",$C25/1000)</f>
        <v/>
      </c>
      <c r="E25" s="25" t="str">
        <f aca="false">IF($B25="","",$D25*$C$4)</f>
        <v/>
      </c>
      <c r="F25" s="26" t="str">
        <f aca="false">IF($B25="","",IF($C25=0,"Listed — not weighed",IF($E25&lt;0,"NEITHER — negative weight",IF($E25&gt;=Settings!$B$19,Settings!$B$6,IF($E25&gt;Settings!$B$14,"NEITHER — over bench capacity",IF($E25&gt;=2*Settings!$B$12,Settings!$B$11,"NEITHER — under bench resolution"))))))</f>
        <v/>
      </c>
      <c r="G25" s="25" t="str">
        <f aca="false">IF($B25="","",IF($F25=Settings!$B$6,MAX(2*Settings!$B$7,Settings!$B$4*$E25),IF($F25=Settings!$B$11,MAX(2*Settings!$B$12,Settings!$B$4*$E25),"")))</f>
        <v/>
      </c>
      <c r="H25" s="27" t="str">
        <f aca="false">IF($B25="","",IF(LEFT($F25,6)="Listed","Quantity 0: shown on the station as a reminder, not weighed. Give it a weight to weigh it.",IF(LEFT($F25,7)="NEITHER","Cannot be weighed — split it, premix it, or raise the batch size",IF($G25&gt;Settings!$B$4*$E25+0.0001,"Held to the scale's resolution, not "&amp;TEXT(Settings!$B$4,"0%"),""))))</f>
        <v/>
      </c>
    </row>
    <row r="26" customFormat="false" ht="15" hidden="false" customHeight="false" outlineLevel="0" collapsed="false">
      <c r="A26" s="21" t="str">
        <f aca="false">IF($B26="","",18)</f>
        <v/>
      </c>
      <c r="B26" s="22"/>
      <c r="C26" s="23"/>
      <c r="D26" s="24" t="str">
        <f aca="false">IF($B26="","",$C26/1000)</f>
        <v/>
      </c>
      <c r="E26" s="25" t="str">
        <f aca="false">IF($B26="","",$D26*$C$4)</f>
        <v/>
      </c>
      <c r="F26" s="26" t="str">
        <f aca="false">IF($B26="","",IF($C26=0,"Listed — not weighed",IF($E26&lt;0,"NEITHER — negative weight",IF($E26&gt;=Settings!$B$19,Settings!$B$6,IF($E26&gt;Settings!$B$14,"NEITHER — over bench capacity",IF($E26&gt;=2*Settings!$B$12,Settings!$B$11,"NEITHER — under bench resolution"))))))</f>
        <v/>
      </c>
      <c r="G26" s="25" t="str">
        <f aca="false">IF($B26="","",IF($F26=Settings!$B$6,MAX(2*Settings!$B$7,Settings!$B$4*$E26),IF($F26=Settings!$B$11,MAX(2*Settings!$B$12,Settings!$B$4*$E26),"")))</f>
        <v/>
      </c>
      <c r="H26" s="27" t="str">
        <f aca="false">IF($B26="","",IF(LEFT($F26,6)="Listed","Quantity 0: shown on the station as a reminder, not weighed. Give it a weight to weigh it.",IF(LEFT($F26,7)="NEITHER","Cannot be weighed — split it, premix it, or raise the batch size",IF($G26&gt;Settings!$B$4*$E26+0.0001,"Held to the scale's resolution, not "&amp;TEXT(Settings!$B$4,"0%"),""))))</f>
        <v/>
      </c>
    </row>
    <row r="27" customFormat="false" ht="15" hidden="false" customHeight="false" outlineLevel="0" collapsed="false">
      <c r="A27" s="21" t="str">
        <f aca="false">IF($B27="","",19)</f>
        <v/>
      </c>
      <c r="B27" s="22"/>
      <c r="C27" s="23"/>
      <c r="D27" s="24" t="str">
        <f aca="false">IF($B27="","",$C27/1000)</f>
        <v/>
      </c>
      <c r="E27" s="25" t="str">
        <f aca="false">IF($B27="","",$D27*$C$4)</f>
        <v/>
      </c>
      <c r="F27" s="26" t="str">
        <f aca="false">IF($B27="","",IF($C27=0,"Listed — not weighed",IF($E27&lt;0,"NEITHER — negative weight",IF($E27&gt;=Settings!$B$19,Settings!$B$6,IF($E27&gt;Settings!$B$14,"NEITHER — over bench capacity",IF($E27&gt;=2*Settings!$B$12,Settings!$B$11,"NEITHER — under bench resolution"))))))</f>
        <v/>
      </c>
      <c r="G27" s="25" t="str">
        <f aca="false">IF($B27="","",IF($F27=Settings!$B$6,MAX(2*Settings!$B$7,Settings!$B$4*$E27),IF($F27=Settings!$B$11,MAX(2*Settings!$B$12,Settings!$B$4*$E27),"")))</f>
        <v/>
      </c>
      <c r="H27" s="27" t="str">
        <f aca="false">IF($B27="","",IF(LEFT($F27,6)="Listed","Quantity 0: shown on the station as a reminder, not weighed. Give it a weight to weigh it.",IF(LEFT($F27,7)="NEITHER","Cannot be weighed — split it, premix it, or raise the batch size",IF($G27&gt;Settings!$B$4*$E27+0.0001,"Held to the scale's resolution, not "&amp;TEXT(Settings!$B$4,"0%"),""))))</f>
        <v/>
      </c>
    </row>
    <row r="28" customFormat="false" ht="15" hidden="false" customHeight="false" outlineLevel="0" collapsed="false">
      <c r="A28" s="21" t="str">
        <f aca="false">IF($B28="","",20)</f>
        <v/>
      </c>
      <c r="B28" s="22"/>
      <c r="C28" s="23"/>
      <c r="D28" s="24" t="str">
        <f aca="false">IF($B28="","",$C28/1000)</f>
        <v/>
      </c>
      <c r="E28" s="25" t="str">
        <f aca="false">IF($B28="","",$D28*$C$4)</f>
        <v/>
      </c>
      <c r="F28" s="26" t="str">
        <f aca="false">IF($B28="","",IF($C28=0,"Listed — not weighed",IF($E28&lt;0,"NEITHER — negative weight",IF($E28&gt;=Settings!$B$19,Settings!$B$6,IF($E28&gt;Settings!$B$14,"NEITHER — over bench capacity",IF($E28&gt;=2*Settings!$B$12,Settings!$B$11,"NEITHER — under bench resolution"))))))</f>
        <v/>
      </c>
      <c r="G28" s="25" t="str">
        <f aca="false">IF($B28="","",IF($F28=Settings!$B$6,MAX(2*Settings!$B$7,Settings!$B$4*$E28),IF($F28=Settings!$B$11,MAX(2*Settings!$B$12,Settings!$B$4*$E28),"")))</f>
        <v/>
      </c>
      <c r="H28" s="27" t="str">
        <f aca="false">IF($B28="","",IF(LEFT($F28,6)="Listed","Quantity 0: shown on the station as a reminder, not weighed. Give it a weight to weigh it.",IF(LEFT($F28,7)="NEITHER","Cannot be weighed — split it, premix it, or raise the batch size",IF($G28&gt;Settings!$B$4*$E28+0.0001,"Held to the scale's resolution, not "&amp;TEXT(Settings!$B$4,"0%"),""))))</f>
        <v/>
      </c>
    </row>
    <row r="29" customFormat="false" ht="15" hidden="false" customHeight="false" outlineLevel="0" collapsed="false">
      <c r="A29" s="21" t="str">
        <f aca="false">IF($B29="","",21)</f>
        <v/>
      </c>
      <c r="B29" s="22"/>
      <c r="C29" s="23"/>
      <c r="D29" s="24" t="str">
        <f aca="false">IF($B29="","",$C29/1000)</f>
        <v/>
      </c>
      <c r="E29" s="25" t="str">
        <f aca="false">IF($B29="","",$D29*$C$4)</f>
        <v/>
      </c>
      <c r="F29" s="26" t="str">
        <f aca="false">IF($B29="","",IF($C29=0,"Listed — not weighed",IF($E29&lt;0,"NEITHER — negative weight",IF($E29&gt;=Settings!$B$19,Settings!$B$6,IF($E29&gt;Settings!$B$14,"NEITHER — over bench capacity",IF($E29&gt;=2*Settings!$B$12,Settings!$B$11,"NEITHER — under bench resolution"))))))</f>
        <v/>
      </c>
      <c r="G29" s="25" t="str">
        <f aca="false">IF($B29="","",IF($F29=Settings!$B$6,MAX(2*Settings!$B$7,Settings!$B$4*$E29),IF($F29=Settings!$B$11,MAX(2*Settings!$B$12,Settings!$B$4*$E29),"")))</f>
        <v/>
      </c>
      <c r="H29" s="27" t="str">
        <f aca="false">IF($B29="","",IF(LEFT($F29,6)="Listed","Quantity 0: shown on the station as a reminder, not weighed. Give it a weight to weigh it.",IF(LEFT($F29,7)="NEITHER","Cannot be weighed — split it, premix it, or raise the batch size",IF($G29&gt;Settings!$B$4*$E29+0.0001,"Held to the scale's resolution, not "&amp;TEXT(Settings!$B$4,"0%"),""))))</f>
        <v/>
      </c>
    </row>
    <row r="30" customFormat="false" ht="15" hidden="false" customHeight="false" outlineLevel="0" collapsed="false">
      <c r="A30" s="21" t="str">
        <f aca="false">IF($B30="","",22)</f>
        <v/>
      </c>
      <c r="B30" s="22"/>
      <c r="C30" s="23"/>
      <c r="D30" s="24" t="str">
        <f aca="false">IF($B30="","",$C30/1000)</f>
        <v/>
      </c>
      <c r="E30" s="25" t="str">
        <f aca="false">IF($B30="","",$D30*$C$4)</f>
        <v/>
      </c>
      <c r="F30" s="26" t="str">
        <f aca="false">IF($B30="","",IF($C30=0,"Listed — not weighed",IF($E30&lt;0,"NEITHER — negative weight",IF($E30&gt;=Settings!$B$19,Settings!$B$6,IF($E30&gt;Settings!$B$14,"NEITHER — over bench capacity",IF($E30&gt;=2*Settings!$B$12,Settings!$B$11,"NEITHER — under bench resolution"))))))</f>
        <v/>
      </c>
      <c r="G30" s="25" t="str">
        <f aca="false">IF($B30="","",IF($F30=Settings!$B$6,MAX(2*Settings!$B$7,Settings!$B$4*$E30),IF($F30=Settings!$B$11,MAX(2*Settings!$B$12,Settings!$B$4*$E30),"")))</f>
        <v/>
      </c>
      <c r="H30" s="27" t="str">
        <f aca="false">IF($B30="","",IF(LEFT($F30,6)="Listed","Quantity 0: shown on the station as a reminder, not weighed. Give it a weight to weigh it.",IF(LEFT($F30,7)="NEITHER","Cannot be weighed — split it, premix it, or raise the batch size",IF($G30&gt;Settings!$B$4*$E30+0.0001,"Held to the scale's resolution, not "&amp;TEXT(Settings!$B$4,"0%"),""))))</f>
        <v/>
      </c>
    </row>
    <row r="31" customFormat="false" ht="15" hidden="false" customHeight="false" outlineLevel="0" collapsed="false">
      <c r="A31" s="21" t="str">
        <f aca="false">IF($B31="","",23)</f>
        <v/>
      </c>
      <c r="B31" s="22"/>
      <c r="C31" s="23"/>
      <c r="D31" s="24" t="str">
        <f aca="false">IF($B31="","",$C31/1000)</f>
        <v/>
      </c>
      <c r="E31" s="25" t="str">
        <f aca="false">IF($B31="","",$D31*$C$4)</f>
        <v/>
      </c>
      <c r="F31" s="26" t="str">
        <f aca="false">IF($B31="","",IF($C31=0,"Listed — not weighed",IF($E31&lt;0,"NEITHER — negative weight",IF($E31&gt;=Settings!$B$19,Settings!$B$6,IF($E31&gt;Settings!$B$14,"NEITHER — over bench capacity",IF($E31&gt;=2*Settings!$B$12,Settings!$B$11,"NEITHER — under bench resolution"))))))</f>
        <v/>
      </c>
      <c r="G31" s="25" t="str">
        <f aca="false">IF($B31="","",IF($F31=Settings!$B$6,MAX(2*Settings!$B$7,Settings!$B$4*$E31),IF($F31=Settings!$B$11,MAX(2*Settings!$B$12,Settings!$B$4*$E31),"")))</f>
        <v/>
      </c>
      <c r="H31" s="27" t="str">
        <f aca="false">IF($B31="","",IF(LEFT($F31,6)="Listed","Quantity 0: shown on the station as a reminder, not weighed. Give it a weight to weigh it.",IF(LEFT($F31,7)="NEITHER","Cannot be weighed — split it, premix it, or raise the batch size",IF($G31&gt;Settings!$B$4*$E31+0.0001,"Held to the scale's resolution, not "&amp;TEXT(Settings!$B$4,"0%"),""))))</f>
        <v/>
      </c>
    </row>
    <row r="32" customFormat="false" ht="15" hidden="false" customHeight="false" outlineLevel="0" collapsed="false">
      <c r="A32" s="21" t="str">
        <f aca="false">IF($B32="","",24)</f>
        <v/>
      </c>
      <c r="B32" s="22"/>
      <c r="C32" s="23"/>
      <c r="D32" s="24" t="str">
        <f aca="false">IF($B32="","",$C32/1000)</f>
        <v/>
      </c>
      <c r="E32" s="25" t="str">
        <f aca="false">IF($B32="","",$D32*$C$4)</f>
        <v/>
      </c>
      <c r="F32" s="26" t="str">
        <f aca="false">IF($B32="","",IF($C32=0,"Listed — not weighed",IF($E32&lt;0,"NEITHER — negative weight",IF($E32&gt;=Settings!$B$19,Settings!$B$6,IF($E32&gt;Settings!$B$14,"NEITHER — over bench capacity",IF($E32&gt;=2*Settings!$B$12,Settings!$B$11,"NEITHER — under bench resolution"))))))</f>
        <v/>
      </c>
      <c r="G32" s="25" t="str">
        <f aca="false">IF($B32="","",IF($F32=Settings!$B$6,MAX(2*Settings!$B$7,Settings!$B$4*$E32),IF($F32=Settings!$B$11,MAX(2*Settings!$B$12,Settings!$B$4*$E32),"")))</f>
        <v/>
      </c>
      <c r="H32" s="27" t="str">
        <f aca="false">IF($B32="","",IF(LEFT($F32,6)="Listed","Quantity 0: shown on the station as a reminder, not weighed. Give it a weight to weigh it.",IF(LEFT($F32,7)="NEITHER","Cannot be weighed — split it, premix it, or raise the batch size",IF($G32&gt;Settings!$B$4*$E32+0.0001,"Held to the scale's resolution, not "&amp;TEXT(Settings!$B$4,"0%"),""))))</f>
        <v/>
      </c>
    </row>
    <row r="33" customFormat="false" ht="15" hidden="false" customHeight="false" outlineLevel="0" collapsed="false">
      <c r="A33" s="21" t="str">
        <f aca="false">IF($B33="","",25)</f>
        <v/>
      </c>
      <c r="B33" s="22"/>
      <c r="C33" s="23"/>
      <c r="D33" s="24" t="str">
        <f aca="false">IF($B33="","",$C33/1000)</f>
        <v/>
      </c>
      <c r="E33" s="25" t="str">
        <f aca="false">IF($B33="","",$D33*$C$4)</f>
        <v/>
      </c>
      <c r="F33" s="26" t="str">
        <f aca="false">IF($B33="","",IF($C33=0,"Listed — not weighed",IF($E33&lt;0,"NEITHER — negative weight",IF($E33&gt;=Settings!$B$19,Settings!$B$6,IF($E33&gt;Settings!$B$14,"NEITHER — over bench capacity",IF($E33&gt;=2*Settings!$B$12,Settings!$B$11,"NEITHER — under bench resolution"))))))</f>
        <v/>
      </c>
      <c r="G33" s="25" t="str">
        <f aca="false">IF($B33="","",IF($F33=Settings!$B$6,MAX(2*Settings!$B$7,Settings!$B$4*$E33),IF($F33=Settings!$B$11,MAX(2*Settings!$B$12,Settings!$B$4*$E33),"")))</f>
        <v/>
      </c>
      <c r="H33" s="27" t="str">
        <f aca="false">IF($B33="","",IF(LEFT($F33,6)="Listed","Quantity 0: shown on the station as a reminder, not weighed. Give it a weight to weigh it.",IF(LEFT($F33,7)="NEITHER","Cannot be weighed — split it, premix it, or raise the batch size",IF($G33&gt;Settings!$B$4*$E33+0.0001,"Held to the scale's resolution, not "&amp;TEXT(Settings!$B$4,"0%"),""))))</f>
        <v/>
      </c>
    </row>
    <row r="34" customFormat="false" ht="15" hidden="false" customHeight="false" outlineLevel="0" collapsed="false">
      <c r="A34" s="21" t="str">
        <f aca="false">IF($B34="","",26)</f>
        <v/>
      </c>
      <c r="B34" s="22"/>
      <c r="C34" s="23"/>
      <c r="D34" s="24" t="str">
        <f aca="false">IF($B34="","",$C34/1000)</f>
        <v/>
      </c>
      <c r="E34" s="25" t="str">
        <f aca="false">IF($B34="","",$D34*$C$4)</f>
        <v/>
      </c>
      <c r="F34" s="26" t="str">
        <f aca="false">IF($B34="","",IF($C34=0,"Listed — not weighed",IF($E34&lt;0,"NEITHER — negative weight",IF($E34&gt;=Settings!$B$19,Settings!$B$6,IF($E34&gt;Settings!$B$14,"NEITHER — over bench capacity",IF($E34&gt;=2*Settings!$B$12,Settings!$B$11,"NEITHER — under bench resolution"))))))</f>
        <v/>
      </c>
      <c r="G34" s="25" t="str">
        <f aca="false">IF($B34="","",IF($F34=Settings!$B$6,MAX(2*Settings!$B$7,Settings!$B$4*$E34),IF($F34=Settings!$B$11,MAX(2*Settings!$B$12,Settings!$B$4*$E34),"")))</f>
        <v/>
      </c>
      <c r="H34" s="27" t="str">
        <f aca="false">IF($B34="","",IF(LEFT($F34,6)="Listed","Quantity 0: shown on the station as a reminder, not weighed. Give it a weight to weigh it.",IF(LEFT($F34,7)="NEITHER","Cannot be weighed — split it, premix it, or raise the batch size",IF($G34&gt;Settings!$B$4*$E34+0.0001,"Held to the scale's resolution, not "&amp;TEXT(Settings!$B$4,"0%"),""))))</f>
        <v/>
      </c>
    </row>
    <row r="35" customFormat="false" ht="15" hidden="false" customHeight="false" outlineLevel="0" collapsed="false">
      <c r="A35" s="21" t="str">
        <f aca="false">IF($B35="","",27)</f>
        <v/>
      </c>
      <c r="B35" s="22"/>
      <c r="C35" s="23"/>
      <c r="D35" s="24" t="str">
        <f aca="false">IF($B35="","",$C35/1000)</f>
        <v/>
      </c>
      <c r="E35" s="25" t="str">
        <f aca="false">IF($B35="","",$D35*$C$4)</f>
        <v/>
      </c>
      <c r="F35" s="26" t="str">
        <f aca="false">IF($B35="","",IF($C35=0,"Listed — not weighed",IF($E35&lt;0,"NEITHER — negative weight",IF($E35&gt;=Settings!$B$19,Settings!$B$6,IF($E35&gt;Settings!$B$14,"NEITHER — over bench capacity",IF($E35&gt;=2*Settings!$B$12,Settings!$B$11,"NEITHER — under bench resolution"))))))</f>
        <v/>
      </c>
      <c r="G35" s="25" t="str">
        <f aca="false">IF($B35="","",IF($F35=Settings!$B$6,MAX(2*Settings!$B$7,Settings!$B$4*$E35),IF($F35=Settings!$B$11,MAX(2*Settings!$B$12,Settings!$B$4*$E35),"")))</f>
        <v/>
      </c>
      <c r="H35" s="27" t="str">
        <f aca="false">IF($B35="","",IF(LEFT($F35,6)="Listed","Quantity 0: shown on the station as a reminder, not weighed. Give it a weight to weigh it.",IF(LEFT($F35,7)="NEITHER","Cannot be weighed — split it, premix it, or raise the batch size",IF($G35&gt;Settings!$B$4*$E35+0.0001,"Held to the scale's resolution, not "&amp;TEXT(Settings!$B$4,"0%"),""))))</f>
        <v/>
      </c>
    </row>
    <row r="36" customFormat="false" ht="15" hidden="false" customHeight="false" outlineLevel="0" collapsed="false">
      <c r="A36" s="21" t="str">
        <f aca="false">IF($B36="","",28)</f>
        <v/>
      </c>
      <c r="B36" s="22"/>
      <c r="C36" s="23"/>
      <c r="D36" s="24" t="str">
        <f aca="false">IF($B36="","",$C36/1000)</f>
        <v/>
      </c>
      <c r="E36" s="25" t="str">
        <f aca="false">IF($B36="","",$D36*$C$4)</f>
        <v/>
      </c>
      <c r="F36" s="26" t="str">
        <f aca="false">IF($B36="","",IF($C36=0,"Listed — not weighed",IF($E36&lt;0,"NEITHER — negative weight",IF($E36&gt;=Settings!$B$19,Settings!$B$6,IF($E36&gt;Settings!$B$14,"NEITHER — over bench capacity",IF($E36&gt;=2*Settings!$B$12,Settings!$B$11,"NEITHER — under bench resolution"))))))</f>
        <v/>
      </c>
      <c r="G36" s="25" t="str">
        <f aca="false">IF($B36="","",IF($F36=Settings!$B$6,MAX(2*Settings!$B$7,Settings!$B$4*$E36),IF($F36=Settings!$B$11,MAX(2*Settings!$B$12,Settings!$B$4*$E36),"")))</f>
        <v/>
      </c>
      <c r="H36" s="27" t="str">
        <f aca="false">IF($B36="","",IF(LEFT($F36,6)="Listed","Quantity 0: shown on the station as a reminder, not weighed. Give it a weight to weigh it.",IF(LEFT($F36,7)="NEITHER","Cannot be weighed — split it, premix it, or raise the batch size",IF($G36&gt;Settings!$B$4*$E36+0.0001,"Held to the scale's resolution, not "&amp;TEXT(Settings!$B$4,"0%"),""))))</f>
        <v/>
      </c>
    </row>
    <row r="37" customFormat="false" ht="15" hidden="false" customHeight="false" outlineLevel="0" collapsed="false">
      <c r="A37" s="21" t="str">
        <f aca="false">IF($B37="","",29)</f>
        <v/>
      </c>
      <c r="B37" s="22"/>
      <c r="C37" s="23"/>
      <c r="D37" s="24" t="str">
        <f aca="false">IF($B37="","",$C37/1000)</f>
        <v/>
      </c>
      <c r="E37" s="25" t="str">
        <f aca="false">IF($B37="","",$D37*$C$4)</f>
        <v/>
      </c>
      <c r="F37" s="26" t="str">
        <f aca="false">IF($B37="","",IF($C37=0,"Listed — not weighed",IF($E37&lt;0,"NEITHER — negative weight",IF($E37&gt;=Settings!$B$19,Settings!$B$6,IF($E37&gt;Settings!$B$14,"NEITHER — over bench capacity",IF($E37&gt;=2*Settings!$B$12,Settings!$B$11,"NEITHER — under bench resolution"))))))</f>
        <v/>
      </c>
      <c r="G37" s="25" t="str">
        <f aca="false">IF($B37="","",IF($F37=Settings!$B$6,MAX(2*Settings!$B$7,Settings!$B$4*$E37),IF($F37=Settings!$B$11,MAX(2*Settings!$B$12,Settings!$B$4*$E37),"")))</f>
        <v/>
      </c>
      <c r="H37" s="27" t="str">
        <f aca="false">IF($B37="","",IF(LEFT($F37,6)="Listed","Quantity 0: shown on the station as a reminder, not weighed. Give it a weight to weigh it.",IF(LEFT($F37,7)="NEITHER","Cannot be weighed — split it, premix it, or raise the batch size",IF($G37&gt;Settings!$B$4*$E37+0.0001,"Held to the scale's resolution, not "&amp;TEXT(Settings!$B$4,"0%"),""))))</f>
        <v/>
      </c>
    </row>
    <row r="38" customFormat="false" ht="15" hidden="false" customHeight="false" outlineLevel="0" collapsed="false">
      <c r="A38" s="21" t="str">
        <f aca="false">IF($B38="","",30)</f>
        <v/>
      </c>
      <c r="B38" s="22"/>
      <c r="C38" s="23"/>
      <c r="D38" s="24" t="str">
        <f aca="false">IF($B38="","",$C38/1000)</f>
        <v/>
      </c>
      <c r="E38" s="25" t="str">
        <f aca="false">IF($B38="","",$D38*$C$4)</f>
        <v/>
      </c>
      <c r="F38" s="26" t="str">
        <f aca="false">IF($B38="","",IF($C38=0,"Listed — not weighed",IF($E38&lt;0,"NEITHER — negative weight",IF($E38&gt;=Settings!$B$19,Settings!$B$6,IF($E38&gt;Settings!$B$14,"NEITHER — over bench capacity",IF($E38&gt;=2*Settings!$B$12,Settings!$B$11,"NEITHER — under bench resolution"))))))</f>
        <v/>
      </c>
      <c r="G38" s="25" t="str">
        <f aca="false">IF($B38="","",IF($F38=Settings!$B$6,MAX(2*Settings!$B$7,Settings!$B$4*$E38),IF($F38=Settings!$B$11,MAX(2*Settings!$B$12,Settings!$B$4*$E38),"")))</f>
        <v/>
      </c>
      <c r="H38" s="27" t="str">
        <f aca="false">IF($B38="","",IF(LEFT($F38,6)="Listed","Quantity 0: shown on the station as a reminder, not weighed. Give it a weight to weigh it.",IF(LEFT($F38,7)="NEITHER","Cannot be weighed — split it, premix it, or raise the batch size",IF($G38&gt;Settings!$B$4*$E38+0.0001,"Held to the scale's resolution, not "&amp;TEXT(Settings!$B$4,"0%"),""))))</f>
        <v/>
      </c>
    </row>
    <row r="39" customFormat="false" ht="15" hidden="false" customHeight="false" outlineLevel="0" collapsed="false">
      <c r="A39" s="21" t="str">
        <f aca="false">IF($B39="","",31)</f>
        <v/>
      </c>
      <c r="B39" s="22"/>
      <c r="C39" s="23"/>
      <c r="D39" s="24" t="str">
        <f aca="false">IF($B39="","",$C39/1000)</f>
        <v/>
      </c>
      <c r="E39" s="25" t="str">
        <f aca="false">IF($B39="","",$D39*$C$4)</f>
        <v/>
      </c>
      <c r="F39" s="26" t="str">
        <f aca="false">IF($B39="","",IF($C39=0,"Listed — not weighed",IF($E39&lt;0,"NEITHER — negative weight",IF($E39&gt;=Settings!$B$19,Settings!$B$6,IF($E39&gt;Settings!$B$14,"NEITHER — over bench capacity",IF($E39&gt;=2*Settings!$B$12,Settings!$B$11,"NEITHER — under bench resolution"))))))</f>
        <v/>
      </c>
      <c r="G39" s="25" t="str">
        <f aca="false">IF($B39="","",IF($F39=Settings!$B$6,MAX(2*Settings!$B$7,Settings!$B$4*$E39),IF($F39=Settings!$B$11,MAX(2*Settings!$B$12,Settings!$B$4*$E39),"")))</f>
        <v/>
      </c>
      <c r="H39" s="27" t="str">
        <f aca="false">IF($B39="","",IF(LEFT($F39,6)="Listed","Quantity 0: shown on the station as a reminder, not weighed. Give it a weight to weigh it.",IF(LEFT($F39,7)="NEITHER","Cannot be weighed — split it, premix it, or raise the batch size",IF($G39&gt;Settings!$B$4*$E39+0.0001,"Held to the scale's resolution, not "&amp;TEXT(Settings!$B$4,"0%"),""))))</f>
        <v/>
      </c>
    </row>
    <row r="40" customFormat="false" ht="15" hidden="false" customHeight="false" outlineLevel="0" collapsed="false">
      <c r="A40" s="21" t="str">
        <f aca="false">IF($B40="","",32)</f>
        <v/>
      </c>
      <c r="B40" s="22"/>
      <c r="C40" s="23"/>
      <c r="D40" s="24" t="str">
        <f aca="false">IF($B40="","",$C40/1000)</f>
        <v/>
      </c>
      <c r="E40" s="25" t="str">
        <f aca="false">IF($B40="","",$D40*$C$4)</f>
        <v/>
      </c>
      <c r="F40" s="26" t="str">
        <f aca="false">IF($B40="","",IF($C40=0,"Listed — not weighed",IF($E40&lt;0,"NEITHER — negative weight",IF($E40&gt;=Settings!$B$19,Settings!$B$6,IF($E40&gt;Settings!$B$14,"NEITHER — over bench capacity",IF($E40&gt;=2*Settings!$B$12,Settings!$B$11,"NEITHER — under bench resolution"))))))</f>
        <v/>
      </c>
      <c r="G40" s="25" t="str">
        <f aca="false">IF($B40="","",IF($F40=Settings!$B$6,MAX(2*Settings!$B$7,Settings!$B$4*$E40),IF($F40=Settings!$B$11,MAX(2*Settings!$B$12,Settings!$B$4*$E40),"")))</f>
        <v/>
      </c>
      <c r="H40" s="27" t="str">
        <f aca="false">IF($B40="","",IF(LEFT($F40,6)="Listed","Quantity 0: shown on the station as a reminder, not weighed. Give it a weight to weigh it.",IF(LEFT($F40,7)="NEITHER","Cannot be weighed — split it, premix it, or raise the batch size",IF($G40&gt;Settings!$B$4*$E40+0.0001,"Held to the scale's resolution, not "&amp;TEXT(Settings!$B$4,"0%"),""))))</f>
        <v/>
      </c>
    </row>
    <row r="41" customFormat="false" ht="15" hidden="false" customHeight="false" outlineLevel="0" collapsed="false">
      <c r="A41" s="21" t="str">
        <f aca="false">IF($B41="","",33)</f>
        <v/>
      </c>
      <c r="B41" s="22"/>
      <c r="C41" s="23"/>
      <c r="D41" s="24" t="str">
        <f aca="false">IF($B41="","",$C41/1000)</f>
        <v/>
      </c>
      <c r="E41" s="25" t="str">
        <f aca="false">IF($B41="","",$D41*$C$4)</f>
        <v/>
      </c>
      <c r="F41" s="26" t="str">
        <f aca="false">IF($B41="","",IF($C41=0,"Listed — not weighed",IF($E41&lt;0,"NEITHER — negative weight",IF($E41&gt;=Settings!$B$19,Settings!$B$6,IF($E41&gt;Settings!$B$14,"NEITHER — over bench capacity",IF($E41&gt;=2*Settings!$B$12,Settings!$B$11,"NEITHER — under bench resolution"))))))</f>
        <v/>
      </c>
      <c r="G41" s="25" t="str">
        <f aca="false">IF($B41="","",IF($F41=Settings!$B$6,MAX(2*Settings!$B$7,Settings!$B$4*$E41),IF($F41=Settings!$B$11,MAX(2*Settings!$B$12,Settings!$B$4*$E41),"")))</f>
        <v/>
      </c>
      <c r="H41" s="27" t="str">
        <f aca="false">IF($B41="","",IF(LEFT($F41,6)="Listed","Quantity 0: shown on the station as a reminder, not weighed. Give it a weight to weigh it.",IF(LEFT($F41,7)="NEITHER","Cannot be weighed — split it, premix it, or raise the batch size",IF($G41&gt;Settings!$B$4*$E41+0.0001,"Held to the scale's resolution, not "&amp;TEXT(Settings!$B$4,"0%"),""))))</f>
        <v/>
      </c>
    </row>
    <row r="42" customFormat="false" ht="15" hidden="false" customHeight="false" outlineLevel="0" collapsed="false">
      <c r="A42" s="21" t="str">
        <f aca="false">IF($B42="","",34)</f>
        <v/>
      </c>
      <c r="B42" s="22"/>
      <c r="C42" s="23"/>
      <c r="D42" s="24" t="str">
        <f aca="false">IF($B42="","",$C42/1000)</f>
        <v/>
      </c>
      <c r="E42" s="25" t="str">
        <f aca="false">IF($B42="","",$D42*$C$4)</f>
        <v/>
      </c>
      <c r="F42" s="26" t="str">
        <f aca="false">IF($B42="","",IF($C42=0,"Listed — not weighed",IF($E42&lt;0,"NEITHER — negative weight",IF($E42&gt;=Settings!$B$19,Settings!$B$6,IF($E42&gt;Settings!$B$14,"NEITHER — over bench capacity",IF($E42&gt;=2*Settings!$B$12,Settings!$B$11,"NEITHER — under bench resolution"))))))</f>
        <v/>
      </c>
      <c r="G42" s="25" t="str">
        <f aca="false">IF($B42="","",IF($F42=Settings!$B$6,MAX(2*Settings!$B$7,Settings!$B$4*$E42),IF($F42=Settings!$B$11,MAX(2*Settings!$B$12,Settings!$B$4*$E42),"")))</f>
        <v/>
      </c>
      <c r="H42" s="27" t="str">
        <f aca="false">IF($B42="","",IF(LEFT($F42,6)="Listed","Quantity 0: shown on the station as a reminder, not weighed. Give it a weight to weigh it.",IF(LEFT($F42,7)="NEITHER","Cannot be weighed — split it, premix it, or raise the batch size",IF($G42&gt;Settings!$B$4*$E42+0.0001,"Held to the scale's resolution, not "&amp;TEXT(Settings!$B$4,"0%"),""))))</f>
        <v/>
      </c>
    </row>
    <row r="43" customFormat="false" ht="15" hidden="false" customHeight="false" outlineLevel="0" collapsed="false">
      <c r="A43" s="21" t="str">
        <f aca="false">IF($B43="","",35)</f>
        <v/>
      </c>
      <c r="B43" s="22"/>
      <c r="C43" s="23"/>
      <c r="D43" s="24" t="str">
        <f aca="false">IF($B43="","",$C43/1000)</f>
        <v/>
      </c>
      <c r="E43" s="25" t="str">
        <f aca="false">IF($B43="","",$D43*$C$4)</f>
        <v/>
      </c>
      <c r="F43" s="26" t="str">
        <f aca="false">IF($B43="","",IF($C43=0,"Listed — not weighed",IF($E43&lt;0,"NEITHER — negative weight",IF($E43&gt;=Settings!$B$19,Settings!$B$6,IF($E43&gt;Settings!$B$14,"NEITHER — over bench capacity",IF($E43&gt;=2*Settings!$B$12,Settings!$B$11,"NEITHER — under bench resolution"))))))</f>
        <v/>
      </c>
      <c r="G43" s="25" t="str">
        <f aca="false">IF($B43="","",IF($F43=Settings!$B$6,MAX(2*Settings!$B$7,Settings!$B$4*$E43),IF($F43=Settings!$B$11,MAX(2*Settings!$B$12,Settings!$B$4*$E43),"")))</f>
        <v/>
      </c>
      <c r="H43" s="27" t="str">
        <f aca="false">IF($B43="","",IF(LEFT($F43,6)="Listed","Quantity 0: shown on the station as a reminder, not weighed. Give it a weight to weigh it.",IF(LEFT($F43,7)="NEITHER","Cannot be weighed — split it, premix it, or raise the batch size",IF($G43&gt;Settings!$B$4*$E43+0.0001,"Held to the scale's resolution, not "&amp;TEXT(Settings!$B$4,"0%"),""))))</f>
        <v/>
      </c>
    </row>
    <row r="44" customFormat="false" ht="15" hidden="false" customHeight="false" outlineLevel="0" collapsed="false">
      <c r="A44" s="21" t="str">
        <f aca="false">IF($B44="","",36)</f>
        <v/>
      </c>
      <c r="B44" s="22"/>
      <c r="C44" s="23"/>
      <c r="D44" s="24" t="str">
        <f aca="false">IF($B44="","",$C44/1000)</f>
        <v/>
      </c>
      <c r="E44" s="25" t="str">
        <f aca="false">IF($B44="","",$D44*$C$4)</f>
        <v/>
      </c>
      <c r="F44" s="26" t="str">
        <f aca="false">IF($B44="","",IF($C44=0,"Listed — not weighed",IF($E44&lt;0,"NEITHER — negative weight",IF($E44&gt;=Settings!$B$19,Settings!$B$6,IF($E44&gt;Settings!$B$14,"NEITHER — over bench capacity",IF($E44&gt;=2*Settings!$B$12,Settings!$B$11,"NEITHER — under bench resolution"))))))</f>
        <v/>
      </c>
      <c r="G44" s="25" t="str">
        <f aca="false">IF($B44="","",IF($F44=Settings!$B$6,MAX(2*Settings!$B$7,Settings!$B$4*$E44),IF($F44=Settings!$B$11,MAX(2*Settings!$B$12,Settings!$B$4*$E44),"")))</f>
        <v/>
      </c>
      <c r="H44" s="27" t="str">
        <f aca="false">IF($B44="","",IF(LEFT($F44,6)="Listed","Quantity 0: shown on the station as a reminder, not weighed. Give it a weight to weigh it.",IF(LEFT($F44,7)="NEITHER","Cannot be weighed — split it, premix it, or raise the batch size",IF($G44&gt;Settings!$B$4*$E44+0.0001,"Held to the scale's resolution, not "&amp;TEXT(Settings!$B$4,"0%"),""))))</f>
        <v/>
      </c>
    </row>
    <row r="45" customFormat="false" ht="15" hidden="false" customHeight="false" outlineLevel="0" collapsed="false">
      <c r="A45" s="21" t="str">
        <f aca="false">IF($B45="","",37)</f>
        <v/>
      </c>
      <c r="B45" s="22"/>
      <c r="C45" s="23"/>
      <c r="D45" s="24" t="str">
        <f aca="false">IF($B45="","",$C45/1000)</f>
        <v/>
      </c>
      <c r="E45" s="25" t="str">
        <f aca="false">IF($B45="","",$D45*$C$4)</f>
        <v/>
      </c>
      <c r="F45" s="26" t="str">
        <f aca="false">IF($B45="","",IF($C45=0,"Listed — not weighed",IF($E45&lt;0,"NEITHER — negative weight",IF($E45&gt;=Settings!$B$19,Settings!$B$6,IF($E45&gt;Settings!$B$14,"NEITHER — over bench capacity",IF($E45&gt;=2*Settings!$B$12,Settings!$B$11,"NEITHER — under bench resolution"))))))</f>
        <v/>
      </c>
      <c r="G45" s="25" t="str">
        <f aca="false">IF($B45="","",IF($F45=Settings!$B$6,MAX(2*Settings!$B$7,Settings!$B$4*$E45),IF($F45=Settings!$B$11,MAX(2*Settings!$B$12,Settings!$B$4*$E45),"")))</f>
        <v/>
      </c>
      <c r="H45" s="27" t="str">
        <f aca="false">IF($B45="","",IF(LEFT($F45,6)="Listed","Quantity 0: shown on the station as a reminder, not weighed. Give it a weight to weigh it.",IF(LEFT($F45,7)="NEITHER","Cannot be weighed — split it, premix it, or raise the batch size",IF($G45&gt;Settings!$B$4*$E45+0.0001,"Held to the scale's resolution, not "&amp;TEXT(Settings!$B$4,"0%"),""))))</f>
        <v/>
      </c>
    </row>
    <row r="46" customFormat="false" ht="15" hidden="false" customHeight="false" outlineLevel="0" collapsed="false">
      <c r="A46" s="21" t="str">
        <f aca="false">IF($B46="","",38)</f>
        <v/>
      </c>
      <c r="B46" s="22"/>
      <c r="C46" s="23"/>
      <c r="D46" s="24" t="str">
        <f aca="false">IF($B46="","",$C46/1000)</f>
        <v/>
      </c>
      <c r="E46" s="25" t="str">
        <f aca="false">IF($B46="","",$D46*$C$4)</f>
        <v/>
      </c>
      <c r="F46" s="26" t="str">
        <f aca="false">IF($B46="","",IF($C46=0,"Listed — not weighed",IF($E46&lt;0,"NEITHER — negative weight",IF($E46&gt;=Settings!$B$19,Settings!$B$6,IF($E46&gt;Settings!$B$14,"NEITHER — over bench capacity",IF($E46&gt;=2*Settings!$B$12,Settings!$B$11,"NEITHER — under bench resolution"))))))</f>
        <v/>
      </c>
      <c r="G46" s="25" t="str">
        <f aca="false">IF($B46="","",IF($F46=Settings!$B$6,MAX(2*Settings!$B$7,Settings!$B$4*$E46),IF($F46=Settings!$B$11,MAX(2*Settings!$B$12,Settings!$B$4*$E46),"")))</f>
        <v/>
      </c>
      <c r="H46" s="27" t="str">
        <f aca="false">IF($B46="","",IF(LEFT($F46,6)="Listed","Quantity 0: shown on the station as a reminder, not weighed. Give it a weight to weigh it.",IF(LEFT($F46,7)="NEITHER","Cannot be weighed — split it, premix it, or raise the batch size",IF($G46&gt;Settings!$B$4*$E46+0.0001,"Held to the scale's resolution, not "&amp;TEXT(Settings!$B$4,"0%"),""))))</f>
        <v/>
      </c>
    </row>
    <row r="47" customFormat="false" ht="15" hidden="false" customHeight="false" outlineLevel="0" collapsed="false">
      <c r="A47" s="21" t="str">
        <f aca="false">IF($B47="","",39)</f>
        <v/>
      </c>
      <c r="B47" s="22"/>
      <c r="C47" s="23"/>
      <c r="D47" s="24" t="str">
        <f aca="false">IF($B47="","",$C47/1000)</f>
        <v/>
      </c>
      <c r="E47" s="25" t="str">
        <f aca="false">IF($B47="","",$D47*$C$4)</f>
        <v/>
      </c>
      <c r="F47" s="26" t="str">
        <f aca="false">IF($B47="","",IF($C47=0,"Listed — not weighed",IF($E47&lt;0,"NEITHER — negative weight",IF($E47&gt;=Settings!$B$19,Settings!$B$6,IF($E47&gt;Settings!$B$14,"NEITHER — over bench capacity",IF($E47&gt;=2*Settings!$B$12,Settings!$B$11,"NEITHER — under bench resolution"))))))</f>
        <v/>
      </c>
      <c r="G47" s="25" t="str">
        <f aca="false">IF($B47="","",IF($F47=Settings!$B$6,MAX(2*Settings!$B$7,Settings!$B$4*$E47),IF($F47=Settings!$B$11,MAX(2*Settings!$B$12,Settings!$B$4*$E47),"")))</f>
        <v/>
      </c>
      <c r="H47" s="27" t="str">
        <f aca="false">IF($B47="","",IF(LEFT($F47,6)="Listed","Quantity 0: shown on the station as a reminder, not weighed. Give it a weight to weigh it.",IF(LEFT($F47,7)="NEITHER","Cannot be weighed — split it, premix it, or raise the batch size",IF($G47&gt;Settings!$B$4*$E47+0.0001,"Held to the scale's resolution, not "&amp;TEXT(Settings!$B$4,"0%"),""))))</f>
        <v/>
      </c>
    </row>
    <row r="48" customFormat="false" ht="15" hidden="false" customHeight="false" outlineLevel="0" collapsed="false">
      <c r="A48" s="21" t="str">
        <f aca="false">IF($B48="","",40)</f>
        <v/>
      </c>
      <c r="B48" s="22"/>
      <c r="C48" s="23"/>
      <c r="D48" s="24" t="str">
        <f aca="false">IF($B48="","",$C48/1000)</f>
        <v/>
      </c>
      <c r="E48" s="25" t="str">
        <f aca="false">IF($B48="","",$D48*$C$4)</f>
        <v/>
      </c>
      <c r="F48" s="26" t="str">
        <f aca="false">IF($B48="","",IF($C48=0,"Listed — not weighed",IF($E48&lt;0,"NEITHER — negative weight",IF($E48&gt;=Settings!$B$19,Settings!$B$6,IF($E48&gt;Settings!$B$14,"NEITHER — over bench capacity",IF($E48&gt;=2*Settings!$B$12,Settings!$B$11,"NEITHER — under bench resolution"))))))</f>
        <v/>
      </c>
      <c r="G48" s="25" t="str">
        <f aca="false">IF($B48="","",IF($F48=Settings!$B$6,MAX(2*Settings!$B$7,Settings!$B$4*$E48),IF($F48=Settings!$B$11,MAX(2*Settings!$B$12,Settings!$B$4*$E48),"")))</f>
        <v/>
      </c>
      <c r="H48" s="27" t="str">
        <f aca="false">IF($B48="","",IF(LEFT($F48,6)="Listed","Quantity 0: shown on the station as a reminder, not weighed. Give it a weight to weigh it.",IF(LEFT($F48,7)="NEITHER","Cannot be weighed — split it, premix it, or raise the batch size",IF($G48&gt;Settings!$B$4*$E48+0.0001,"Held to the scale's resolution, not "&amp;TEXT(Settings!$B$4,"0%"),""))))</f>
        <v/>
      </c>
    </row>
    <row r="50" customFormat="false" ht="15" hidden="false" customHeight="false" outlineLevel="0" collapsed="false">
      <c r="B50" s="17" t="s">
        <v>67</v>
      </c>
      <c r="C50" s="28" t="n">
        <f aca="false">SUM(C9:C48)</f>
        <v>338.1</v>
      </c>
      <c r="D50" s="29" t="n">
        <f aca="false">SUM(D9:D48)</f>
        <v>0.3381</v>
      </c>
      <c r="E50" s="28" t="n">
        <f aca="false">SUM(E9:E48)</f>
        <v>1081.92</v>
      </c>
    </row>
    <row r="51" customFormat="false" ht="15" hidden="false" customHeight="false" outlineLevel="0" collapsed="false">
      <c r="B51" s="5" t="s">
        <v>68</v>
      </c>
      <c r="E51" s="30" t="n">
        <f aca="false">$C$4+E50</f>
        <v>4281.92</v>
      </c>
    </row>
    <row r="53" customFormat="false" ht="15" hidden="false" customHeight="false" outlineLevel="0" collapsed="false">
      <c r="B53" s="15" t="str">
        <f aca="false">IF(COUNTIF($F$9:$F$48,"NEITHER*")=0,"All ingredients can be weighed.","WARNING: "&amp;COUNTIF($F$9:$F$48,"NEITHER*")&amp;" ingredient(s) cannot be weighed on either scale — see the Note column.")</f>
        <v>All ingredients can be weighed.</v>
      </c>
      <c r="C53" s="15"/>
      <c r="D53" s="15"/>
      <c r="E53" s="15"/>
      <c r="F53" s="15"/>
      <c r="G53" s="15"/>
      <c r="H53" s="15"/>
    </row>
    <row r="55" customFormat="false" ht="30" hidden="false" customHeight="true" outlineLevel="0" collapsed="false">
      <c r="B55" s="31" t="s">
        <v>86</v>
      </c>
      <c r="C55" s="31"/>
      <c r="D55" s="31"/>
      <c r="E55" s="31"/>
      <c r="F55" s="31"/>
      <c r="G55" s="31"/>
      <c r="H55" s="31"/>
    </row>
  </sheetData>
  <mergeCells count="16">
    <mergeCell ref="A1:H1"/>
    <mergeCell ref="A2:H2"/>
    <mergeCell ref="A3:B3"/>
    <mergeCell ref="D3:H3"/>
    <mergeCell ref="A4:B4"/>
    <mergeCell ref="D4:H4"/>
    <mergeCell ref="A5:B5"/>
    <mergeCell ref="D5:E5"/>
    <mergeCell ref="F5:H5"/>
    <mergeCell ref="A6:B6"/>
    <mergeCell ref="D6:E6"/>
    <mergeCell ref="F6:H6"/>
    <mergeCell ref="A7:B7"/>
    <mergeCell ref="D7:H7"/>
    <mergeCell ref="B53:H53"/>
    <mergeCell ref="B55:H55"/>
  </mergeCells>
  <conditionalFormatting sqref="B53:H53">
    <cfRule type="expression" priority="2" aboveAverage="0" equalAverage="0" bottom="0" percent="0" rank="0" text="" dxfId="0">
      <formula>LEFT($B$53,5)="ERROR"</formula>
    </cfRule>
  </conditionalFormatting>
  <conditionalFormatting sqref="A9:H48">
    <cfRule type="expression" priority="3" aboveAverage="0" equalAverage="0" bottom="0" percent="0" rank="0" text="" dxfId="1">
      <formula>LEFT($F9,7)="NEITHER"</formula>
    </cfRule>
    <cfRule type="expression" priority="4" aboveAverage="0" equalAverage="0" bottom="0" percent="0" rank="0" text="" dxfId="2">
      <formula>AND($B9&lt;&gt;"",$H9&lt;&gt;"")</formula>
    </cfRule>
  </conditionalFormatting>
  <dataValidations count="1">
    <dataValidation allowBlank="true" errorStyle="stop" operator="between" showDropDown="false" showErrorMessage="false" showInputMessage="false" sqref="B9:B48" type="list">
      <formula1>IngredientList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6"/>
    <col collapsed="false" customWidth="true" hidden="false" outlineLevel="0" max="4" min="4" style="0" width="11"/>
    <col collapsed="false" customWidth="true" hidden="false" outlineLevel="0" max="5" min="5" style="0" width="16"/>
    <col collapsed="false" customWidth="true" hidden="false" outlineLevel="0" max="6" min="6" style="0" width="18"/>
    <col collapsed="false" customWidth="true" hidden="false" outlineLevel="0" max="7" min="7" style="0" width="13"/>
    <col collapsed="false" customWidth="true" hidden="false" outlineLevel="0" max="8" min="8" style="0" width="46"/>
  </cols>
  <sheetData>
    <row r="1" customFormat="false" ht="17.35" hidden="false" customHeight="false" outlineLevel="0" collapsed="false">
      <c r="A1" s="1" t="s">
        <v>132</v>
      </c>
      <c r="B1" s="1"/>
      <c r="C1" s="1"/>
      <c r="D1" s="1"/>
      <c r="E1" s="1"/>
      <c r="F1" s="1"/>
      <c r="G1" s="1"/>
      <c r="H1" s="1"/>
    </row>
    <row r="2" customFormat="false" ht="15" hidden="false" customHeight="false" outlineLevel="0" collapsed="false">
      <c r="A2" s="2" t="s">
        <v>44</v>
      </c>
      <c r="B2" s="2"/>
      <c r="C2" s="2"/>
      <c r="D2" s="2"/>
      <c r="E2" s="2"/>
      <c r="F2" s="2"/>
      <c r="G2" s="2"/>
      <c r="H2" s="2"/>
    </row>
    <row r="3" customFormat="false" ht="15" hidden="false" customHeight="false" outlineLevel="0" collapsed="false">
      <c r="A3" s="16" t="s">
        <v>45</v>
      </c>
      <c r="B3" s="16"/>
      <c r="C3" s="17" t="s">
        <v>46</v>
      </c>
      <c r="D3" s="2" t="s">
        <v>47</v>
      </c>
      <c r="E3" s="2"/>
      <c r="F3" s="2"/>
      <c r="G3" s="2"/>
      <c r="H3" s="2"/>
    </row>
    <row r="4" customFormat="false" ht="15" hidden="false" customHeight="false" outlineLevel="0" collapsed="false">
      <c r="A4" s="16" t="s">
        <v>48</v>
      </c>
      <c r="B4" s="16"/>
      <c r="C4" s="18" t="n">
        <v>3200</v>
      </c>
      <c r="D4" s="2" t="s">
        <v>49</v>
      </c>
      <c r="E4" s="2"/>
      <c r="F4" s="2"/>
      <c r="G4" s="2"/>
      <c r="H4" s="2"/>
    </row>
    <row r="5" customFormat="false" ht="15" hidden="false" customHeight="false" outlineLevel="0" collapsed="false">
      <c r="A5" s="16" t="s">
        <v>50</v>
      </c>
      <c r="B5" s="16"/>
      <c r="C5" s="8" t="s">
        <v>133</v>
      </c>
      <c r="D5" s="16" t="s">
        <v>52</v>
      </c>
      <c r="E5" s="16"/>
      <c r="F5" s="19" t="s">
        <v>53</v>
      </c>
      <c r="G5" s="19"/>
      <c r="H5" s="19"/>
    </row>
    <row r="6" customFormat="false" ht="15" hidden="false" customHeight="false" outlineLevel="0" collapsed="false">
      <c r="A6" s="16" t="s">
        <v>54</v>
      </c>
      <c r="B6" s="16"/>
      <c r="C6" s="8"/>
      <c r="D6" s="16" t="s">
        <v>55</v>
      </c>
      <c r="E6" s="16"/>
      <c r="F6" s="19"/>
      <c r="G6" s="19"/>
      <c r="H6" s="19"/>
    </row>
    <row r="7" customFormat="false" ht="15" hidden="false" customHeight="false" outlineLevel="0" collapsed="false">
      <c r="A7" s="16" t="s">
        <v>56</v>
      </c>
      <c r="B7" s="16"/>
      <c r="C7" s="8" t="s">
        <v>134</v>
      </c>
      <c r="D7" s="2" t="s">
        <v>57</v>
      </c>
      <c r="E7" s="2"/>
      <c r="F7" s="2"/>
      <c r="G7" s="2"/>
      <c r="H7" s="2"/>
    </row>
    <row r="8" customFormat="false" ht="23.85" hidden="false" customHeight="false" outlineLevel="0" collapsed="false">
      <c r="A8" s="20" t="s">
        <v>58</v>
      </c>
      <c r="B8" s="20" t="s">
        <v>59</v>
      </c>
      <c r="C8" s="20" t="s">
        <v>60</v>
      </c>
      <c r="D8" s="20" t="s">
        <v>61</v>
      </c>
      <c r="E8" s="20" t="s">
        <v>62</v>
      </c>
      <c r="F8" s="20" t="s">
        <v>63</v>
      </c>
      <c r="G8" s="20" t="s">
        <v>64</v>
      </c>
      <c r="H8" s="20" t="s">
        <v>65</v>
      </c>
    </row>
    <row r="9" customFormat="false" ht="15" hidden="false" customHeight="false" outlineLevel="0" collapsed="false">
      <c r="A9" s="21" t="n">
        <f aca="false">IF($B9="","",1)</f>
        <v>1</v>
      </c>
      <c r="B9" s="22" t="s">
        <v>135</v>
      </c>
      <c r="C9" s="23" t="n">
        <v>4.277</v>
      </c>
      <c r="D9" s="24" t="n">
        <f aca="false">IF($B9="","",$C9/1000)</f>
        <v>0.004277</v>
      </c>
      <c r="E9" s="25" t="n">
        <f aca="false">IF($B9="","",$D9*$C$4)</f>
        <v>13.6864</v>
      </c>
      <c r="F9" s="26" t="str">
        <f aca="false">IF($B9="","",IF($C9=0,"Listed — not weighed",IF($E9&lt;0,"NEITHER — negative weight",IF($E9&gt;=Settings!$B$19,Settings!$B$6,IF($E9&gt;Settings!$B$14,"NEITHER — over bench capacity",IF($E9&gt;=2*Settings!$B$12,Settings!$B$11,"NEITHER — under bench resolution"))))))</f>
        <v>Main scale</v>
      </c>
      <c r="G9" s="25" t="n">
        <f aca="false">IF($B9="","",IF($F9=Settings!$B$6,MAX(2*Settings!$B$7,Settings!$B$4*$E9),IF($F9=Settings!$B$11,MAX(2*Settings!$B$12,Settings!$B$4*$E9),"")))</f>
        <v>2</v>
      </c>
      <c r="H9" s="27" t="str">
        <f aca="false">IF($B9="","",IF(LEFT($F9,6)="Listed","Quantity 0: shown on the station as a reminder, not weighed. Give it a weight to weigh it.",IF(LEFT($F9,7)="NEITHER","Cannot be weighed — split it, premix it, or raise the batch size",IF($G9&gt;Settings!$B$4*$E9+0.0001,"Held to the scale's resolution, not "&amp;TEXT(Settings!$B$4,"0%"),""))))</f>
        <v>Held to the scale's resolution, not 2%</v>
      </c>
    </row>
    <row r="10" customFormat="false" ht="15" hidden="false" customHeight="false" outlineLevel="0" collapsed="false">
      <c r="A10" s="21" t="n">
        <f aca="false">IF($B10="","",2)</f>
        <v>2</v>
      </c>
      <c r="B10" s="22" t="s">
        <v>136</v>
      </c>
      <c r="C10" s="23" t="n">
        <v>3.996</v>
      </c>
      <c r="D10" s="24" t="n">
        <f aca="false">IF($B10="","",$C10/1000)</f>
        <v>0.003996</v>
      </c>
      <c r="E10" s="25" t="n">
        <f aca="false">IF($B10="","",$D10*$C$4)</f>
        <v>12.7872</v>
      </c>
      <c r="F10" s="26" t="str">
        <f aca="false">IF($B10="","",IF($C10=0,"Listed — not weighed",IF($E10&lt;0,"NEITHER — negative weight",IF($E10&gt;=Settings!$B$19,Settings!$B$6,IF($E10&gt;Settings!$B$14,"NEITHER — over bench capacity",IF($E10&gt;=2*Settings!$B$12,Settings!$B$11,"NEITHER — under bench resolution"))))))</f>
        <v>Main scale</v>
      </c>
      <c r="G10" s="25" t="n">
        <f aca="false">IF($B10="","",IF($F10=Settings!$B$6,MAX(2*Settings!$B$7,Settings!$B$4*$E10),IF($F10=Settings!$B$11,MAX(2*Settings!$B$12,Settings!$B$4*$E10),"")))</f>
        <v>2</v>
      </c>
      <c r="H10" s="27" t="str">
        <f aca="false">IF($B10="","",IF(LEFT($F10,6)="Listed","Quantity 0: shown on the station as a reminder, not weighed. Give it a weight to weigh it.",IF(LEFT($F10,7)="NEITHER","Cannot be weighed — split it, premix it, or raise the batch size",IF($G10&gt;Settings!$B$4*$E10+0.0001,"Held to the scale's resolution, not "&amp;TEXT(Settings!$B$4,"0%"),""))))</f>
        <v>Held to the scale's resolution, not 2%</v>
      </c>
    </row>
    <row r="11" customFormat="false" ht="15" hidden="false" customHeight="false" outlineLevel="0" collapsed="false">
      <c r="A11" s="21" t="n">
        <f aca="false">IF($B11="","",3)</f>
        <v>3</v>
      </c>
      <c r="B11" s="22" t="s">
        <v>137</v>
      </c>
      <c r="C11" s="23" t="n">
        <v>2.535</v>
      </c>
      <c r="D11" s="24" t="n">
        <f aca="false">IF($B11="","",$C11/1000)</f>
        <v>0.002535</v>
      </c>
      <c r="E11" s="25" t="n">
        <f aca="false">IF($B11="","",$D11*$C$4)</f>
        <v>8.112</v>
      </c>
      <c r="F11" s="26" t="str">
        <f aca="false">IF($B11="","",IF($C11=0,"Listed — not weighed",IF($E11&lt;0,"NEITHER — negative weight",IF($E11&gt;=Settings!$B$19,Settings!$B$6,IF($E11&gt;Settings!$B$14,"NEITHER — over bench capacity",IF($E11&gt;=2*Settings!$B$12,Settings!$B$11,"NEITHER — under bench resolution"))))))</f>
        <v>Main scale</v>
      </c>
      <c r="G11" s="25" t="n">
        <f aca="false">IF($B11="","",IF($F11=Settings!$B$6,MAX(2*Settings!$B$7,Settings!$B$4*$E11),IF($F11=Settings!$B$11,MAX(2*Settings!$B$12,Settings!$B$4*$E11),"")))</f>
        <v>2</v>
      </c>
      <c r="H11" s="27" t="str">
        <f aca="false">IF($B11="","",IF(LEFT($F11,6)="Listed","Quantity 0: shown on the station as a reminder, not weighed. Give it a weight to weigh it.",IF(LEFT($F11,7)="NEITHER","Cannot be weighed — split it, premix it, or raise the batch size",IF($G11&gt;Settings!$B$4*$E11+0.0001,"Held to the scale's resolution, not "&amp;TEXT(Settings!$B$4,"0%"),""))))</f>
        <v>Held to the scale's resolution, not 2%</v>
      </c>
    </row>
    <row r="12" customFormat="false" ht="15" hidden="false" customHeight="false" outlineLevel="0" collapsed="false">
      <c r="A12" s="21" t="n">
        <f aca="false">IF($B12="","",4)</f>
        <v>4</v>
      </c>
      <c r="B12" s="22" t="s">
        <v>138</v>
      </c>
      <c r="C12" s="23" t="n">
        <v>43.612</v>
      </c>
      <c r="D12" s="24" t="n">
        <f aca="false">IF($B12="","",$C12/1000)</f>
        <v>0.043612</v>
      </c>
      <c r="E12" s="25" t="n">
        <f aca="false">IF($B12="","",$D12*$C$4)</f>
        <v>139.5584</v>
      </c>
      <c r="F12" s="26" t="str">
        <f aca="false">IF($B12="","",IF($C12=0,"Listed — not weighed",IF($E12&lt;0,"NEITHER — negative weight",IF($E12&gt;=Settings!$B$19,Settings!$B$6,IF($E12&gt;Settings!$B$14,"NEITHER — over bench capacity",IF($E12&gt;=2*Settings!$B$12,Settings!$B$11,"NEITHER — under bench resolution"))))))</f>
        <v>Main scale</v>
      </c>
      <c r="G12" s="25" t="n">
        <f aca="false">IF($B12="","",IF($F12=Settings!$B$6,MAX(2*Settings!$B$7,Settings!$B$4*$E12),IF($F12=Settings!$B$11,MAX(2*Settings!$B$12,Settings!$B$4*$E12),"")))</f>
        <v>2.791168</v>
      </c>
      <c r="H12" s="27" t="str">
        <f aca="false">IF($B12="","",IF(LEFT($F12,6)="Listed","Quantity 0: shown on the station as a reminder, not weighed. Give it a weight to weigh it.",IF(LEFT($F12,7)="NEITHER","Cannot be weighed — split it, premix it, or raise the batch size",IF($G12&gt;Settings!$B$4*$E12+0.0001,"Held to the scale's resolution, not "&amp;TEXT(Settings!$B$4,"0%"),""))))</f>
        <v/>
      </c>
    </row>
    <row r="13" customFormat="false" ht="15" hidden="false" customHeight="false" outlineLevel="0" collapsed="false">
      <c r="A13" s="21" t="n">
        <f aca="false">IF($B13="","",5)</f>
        <v>5</v>
      </c>
      <c r="B13" s="22" t="s">
        <v>139</v>
      </c>
      <c r="C13" s="23" t="n">
        <v>80.743</v>
      </c>
      <c r="D13" s="24" t="n">
        <f aca="false">IF($B13="","",$C13/1000)</f>
        <v>0.080743</v>
      </c>
      <c r="E13" s="25" t="n">
        <f aca="false">IF($B13="","",$D13*$C$4)</f>
        <v>258.3776</v>
      </c>
      <c r="F13" s="26" t="str">
        <f aca="false">IF($B13="","",IF($C13=0,"Listed — not weighed",IF($E13&lt;0,"NEITHER — negative weight",IF($E13&gt;=Settings!$B$19,Settings!$B$6,IF($E13&gt;Settings!$B$14,"NEITHER — over bench capacity",IF($E13&gt;=2*Settings!$B$12,Settings!$B$11,"NEITHER — under bench resolution"))))))</f>
        <v>Main scale</v>
      </c>
      <c r="G13" s="25" t="n">
        <f aca="false">IF($B13="","",IF($F13=Settings!$B$6,MAX(2*Settings!$B$7,Settings!$B$4*$E13),IF($F13=Settings!$B$11,MAX(2*Settings!$B$12,Settings!$B$4*$E13),"")))</f>
        <v>5.167552</v>
      </c>
      <c r="H13" s="27" t="str">
        <f aca="false">IF($B13="","",IF(LEFT($F13,6)="Listed","Quantity 0: shown on the station as a reminder, not weighed. Give it a weight to weigh it.",IF(LEFT($F13,7)="NEITHER","Cannot be weighed — split it, premix it, or raise the batch size",IF($G13&gt;Settings!$B$4*$E13+0.0001,"Held to the scale's resolution, not "&amp;TEXT(Settings!$B$4,"0%"),""))))</f>
        <v/>
      </c>
    </row>
    <row r="14" customFormat="false" ht="15" hidden="false" customHeight="false" outlineLevel="0" collapsed="false">
      <c r="A14" s="21" t="n">
        <f aca="false">IF($B14="","",6)</f>
        <v>6</v>
      </c>
      <c r="B14" s="22" t="s">
        <v>140</v>
      </c>
      <c r="C14" s="23" t="n">
        <v>42.055</v>
      </c>
      <c r="D14" s="24" t="n">
        <f aca="false">IF($B14="","",$C14/1000)</f>
        <v>0.042055</v>
      </c>
      <c r="E14" s="25" t="n">
        <f aca="false">IF($B14="","",$D14*$C$4)</f>
        <v>134.576</v>
      </c>
      <c r="F14" s="26" t="str">
        <f aca="false">IF($B14="","",IF($C14=0,"Listed — not weighed",IF($E14&lt;0,"NEITHER — negative weight",IF($E14&gt;=Settings!$B$19,Settings!$B$6,IF($E14&gt;Settings!$B$14,"NEITHER — over bench capacity",IF($E14&gt;=2*Settings!$B$12,Settings!$B$11,"NEITHER — under bench resolution"))))))</f>
        <v>Main scale</v>
      </c>
      <c r="G14" s="25" t="n">
        <f aca="false">IF($B14="","",IF($F14=Settings!$B$6,MAX(2*Settings!$B$7,Settings!$B$4*$E14),IF($F14=Settings!$B$11,MAX(2*Settings!$B$12,Settings!$B$4*$E14),"")))</f>
        <v>2.69152</v>
      </c>
      <c r="H14" s="27" t="str">
        <f aca="false">IF($B14="","",IF(LEFT($F14,6)="Listed","Quantity 0: shown on the station as a reminder, not weighed. Give it a weight to weigh it.",IF(LEFT($F14,7)="NEITHER","Cannot be weighed — split it, premix it, or raise the batch size",IF($G14&gt;Settings!$B$4*$E14+0.0001,"Held to the scale's resolution, not "&amp;TEXT(Settings!$B$4,"0%"),""))))</f>
        <v/>
      </c>
    </row>
    <row r="15" customFormat="false" ht="15" hidden="false" customHeight="false" outlineLevel="0" collapsed="false">
      <c r="A15" s="21" t="n">
        <f aca="false">IF($B15="","",7)</f>
        <v>7</v>
      </c>
      <c r="B15" s="22" t="s">
        <v>141</v>
      </c>
      <c r="C15" s="23" t="n">
        <v>45.755</v>
      </c>
      <c r="D15" s="24" t="n">
        <f aca="false">IF($B15="","",$C15/1000)</f>
        <v>0.045755</v>
      </c>
      <c r="E15" s="25" t="n">
        <f aca="false">IF($B15="","",$D15*$C$4)</f>
        <v>146.416</v>
      </c>
      <c r="F15" s="26" t="str">
        <f aca="false">IF($B15="","",IF($C15=0,"Listed — not weighed",IF($E15&lt;0,"NEITHER — negative weight",IF($E15&gt;=Settings!$B$19,Settings!$B$6,IF($E15&gt;Settings!$B$14,"NEITHER — over bench capacity",IF($E15&gt;=2*Settings!$B$12,Settings!$B$11,"NEITHER — under bench resolution"))))))</f>
        <v>Main scale</v>
      </c>
      <c r="G15" s="25" t="n">
        <f aca="false">IF($B15="","",IF($F15=Settings!$B$6,MAX(2*Settings!$B$7,Settings!$B$4*$E15),IF($F15=Settings!$B$11,MAX(2*Settings!$B$12,Settings!$B$4*$E15),"")))</f>
        <v>2.92832</v>
      </c>
      <c r="H15" s="27" t="str">
        <f aca="false">IF($B15="","",IF(LEFT($F15,6)="Listed","Quantity 0: shown on the station as a reminder, not weighed. Give it a weight to weigh it.",IF(LEFT($F15,7)="NEITHER","Cannot be weighed — split it, premix it, or raise the batch size",IF($G15&gt;Settings!$B$4*$E15+0.0001,"Held to the scale's resolution, not "&amp;TEXT(Settings!$B$4,"0%"),""))))</f>
        <v/>
      </c>
    </row>
    <row r="16" customFormat="false" ht="15" hidden="false" customHeight="false" outlineLevel="0" collapsed="false">
      <c r="A16" s="21" t="n">
        <f aca="false">IF($B16="","",8)</f>
        <v>8</v>
      </c>
      <c r="B16" s="22" t="s">
        <v>142</v>
      </c>
      <c r="C16" s="23" t="n">
        <v>78.251</v>
      </c>
      <c r="D16" s="24" t="n">
        <f aca="false">IF($B16="","",$C16/1000)</f>
        <v>0.078251</v>
      </c>
      <c r="E16" s="25" t="n">
        <f aca="false">IF($B16="","",$D16*$C$4)</f>
        <v>250.4032</v>
      </c>
      <c r="F16" s="26" t="str">
        <f aca="false">IF($B16="","",IF($C16=0,"Listed — not weighed",IF($E16&lt;0,"NEITHER — negative weight",IF($E16&gt;=Settings!$B$19,Settings!$B$6,IF($E16&gt;Settings!$B$14,"NEITHER — over bench capacity",IF($E16&gt;=2*Settings!$B$12,Settings!$B$11,"NEITHER — under bench resolution"))))))</f>
        <v>Main scale</v>
      </c>
      <c r="G16" s="25" t="n">
        <f aca="false">IF($B16="","",IF($F16=Settings!$B$6,MAX(2*Settings!$B$7,Settings!$B$4*$E16),IF($F16=Settings!$B$11,MAX(2*Settings!$B$12,Settings!$B$4*$E16),"")))</f>
        <v>5.008064</v>
      </c>
      <c r="H16" s="27" t="str">
        <f aca="false">IF($B16="","",IF(LEFT($F16,6)="Listed","Quantity 0: shown on the station as a reminder, not weighed. Give it a weight to weigh it.",IF(LEFT($F16,7)="NEITHER","Cannot be weighed — split it, premix it, or raise the batch size",IF($G16&gt;Settings!$B$4*$E16+0.0001,"Held to the scale's resolution, not "&amp;TEXT(Settings!$B$4,"0%"),""))))</f>
        <v/>
      </c>
    </row>
    <row r="17" customFormat="false" ht="15" hidden="false" customHeight="false" outlineLevel="0" collapsed="false">
      <c r="A17" s="21" t="n">
        <f aca="false">IF($B17="","",9)</f>
        <v>9</v>
      </c>
      <c r="B17" s="22" t="s">
        <v>143</v>
      </c>
      <c r="C17" s="23" t="n">
        <v>0.6</v>
      </c>
      <c r="D17" s="24" t="n">
        <f aca="false">IF($B17="","",$C17/1000)</f>
        <v>0.0006</v>
      </c>
      <c r="E17" s="25" t="n">
        <f aca="false">IF($B17="","",$D17*$C$4)</f>
        <v>1.92</v>
      </c>
      <c r="F17" s="26" t="str">
        <f aca="false">IF($B17="","",IF($C17=0,"Listed — not weighed",IF($E17&lt;0,"NEITHER — negative weight",IF($E17&gt;=Settings!$B$19,Settings!$B$6,IF($E17&gt;Settings!$B$14,"NEITHER — over bench capacity",IF($E17&gt;=2*Settings!$B$12,Settings!$B$11,"NEITHER — under bench resolution"))))))</f>
        <v>Small scale</v>
      </c>
      <c r="G17" s="25" t="n">
        <f aca="false">IF($B17="","",IF($F17=Settings!$B$6,MAX(2*Settings!$B$7,Settings!$B$4*$E17),IF($F17=Settings!$B$11,MAX(2*Settings!$B$12,Settings!$B$4*$E17),"")))</f>
        <v>0.2</v>
      </c>
      <c r="H17" s="27" t="str">
        <f aca="false">IF($B17="","",IF(LEFT($F17,6)="Listed","Quantity 0: shown on the station as a reminder, not weighed. Give it a weight to weigh it.",IF(LEFT($F17,7)="NEITHER","Cannot be weighed — split it, premix it, or raise the batch size",IF($G17&gt;Settings!$B$4*$E17+0.0001,"Held to the scale's resolution, not "&amp;TEXT(Settings!$B$4,"0%"),""))))</f>
        <v>Held to the scale's resolution, not 2%</v>
      </c>
    </row>
    <row r="18" customFormat="false" ht="15" hidden="false" customHeight="false" outlineLevel="0" collapsed="false">
      <c r="A18" s="21" t="n">
        <f aca="false">IF($B18="","",10)</f>
        <v>10</v>
      </c>
      <c r="B18" s="22" t="s">
        <v>75</v>
      </c>
      <c r="C18" s="23" t="n">
        <v>2</v>
      </c>
      <c r="D18" s="24" t="n">
        <f aca="false">IF($B18="","",$C18/1000)</f>
        <v>0.002</v>
      </c>
      <c r="E18" s="25" t="n">
        <f aca="false">IF($B18="","",$D18*$C$4)</f>
        <v>6.4</v>
      </c>
      <c r="F18" s="26" t="str">
        <f aca="false">IF($B18="","",IF($C18=0,"Listed — not weighed",IF($E18&lt;0,"NEITHER — negative weight",IF($E18&gt;=Settings!$B$19,Settings!$B$6,IF($E18&gt;Settings!$B$14,"NEITHER — over bench capacity",IF($E18&gt;=2*Settings!$B$12,Settings!$B$11,"NEITHER — under bench resolution"))))))</f>
        <v>Main scale</v>
      </c>
      <c r="G18" s="25" t="n">
        <f aca="false">IF($B18="","",IF($F18=Settings!$B$6,MAX(2*Settings!$B$7,Settings!$B$4*$E18),IF($F18=Settings!$B$11,MAX(2*Settings!$B$12,Settings!$B$4*$E18),"")))</f>
        <v>2</v>
      </c>
      <c r="H18" s="27" t="str">
        <f aca="false">IF($B18="","",IF(LEFT($F18,6)="Listed","Quantity 0: shown on the station as a reminder, not weighed. Give it a weight to weigh it.",IF(LEFT($F18,7)="NEITHER","Cannot be weighed — split it, premix it, or raise the batch size",IF($G18&gt;Settings!$B$4*$E18+0.0001,"Held to the scale's resolution, not "&amp;TEXT(Settings!$B$4,"0%"),""))))</f>
        <v>Held to the scale's resolution, not 2%</v>
      </c>
    </row>
    <row r="19" customFormat="false" ht="15" hidden="false" customHeight="false" outlineLevel="0" collapsed="false">
      <c r="A19" s="21" t="n">
        <f aca="false">IF($B19="","",11)</f>
        <v>11</v>
      </c>
      <c r="B19" s="22" t="s">
        <v>79</v>
      </c>
      <c r="C19" s="23" t="n">
        <v>1</v>
      </c>
      <c r="D19" s="24" t="n">
        <f aca="false">IF($B19="","",$C19/1000)</f>
        <v>0.001</v>
      </c>
      <c r="E19" s="25" t="n">
        <f aca="false">IF($B19="","",$D19*$C$4)</f>
        <v>3.2</v>
      </c>
      <c r="F19" s="26" t="str">
        <f aca="false">IF($B19="","",IF($C19=0,"Listed — not weighed",IF($E19&lt;0,"NEITHER — negative weight",IF($E19&gt;=Settings!$B$19,Settings!$B$6,IF($E19&gt;Settings!$B$14,"NEITHER — over bench capacity",IF($E19&gt;=2*Settings!$B$12,Settings!$B$11,"NEITHER — under bench resolution"))))))</f>
        <v>Small scale</v>
      </c>
      <c r="G19" s="25" t="n">
        <f aca="false">IF($B19="","",IF($F19=Settings!$B$6,MAX(2*Settings!$B$7,Settings!$B$4*$E19),IF($F19=Settings!$B$11,MAX(2*Settings!$B$12,Settings!$B$4*$E19),"")))</f>
        <v>0.2</v>
      </c>
      <c r="H19" s="27" t="str">
        <f aca="false">IF($B19="","",IF(LEFT($F19,6)="Listed","Quantity 0: shown on the station as a reminder, not weighed. Give it a weight to weigh it.",IF(LEFT($F19,7)="NEITHER","Cannot be weighed — split it, premix it, or raise the batch size",IF($G19&gt;Settings!$B$4*$E19+0.0001,"Held to the scale's resolution, not "&amp;TEXT(Settings!$B$4,"0%"),""))))</f>
        <v>Held to the scale's resolution, not 2%</v>
      </c>
    </row>
    <row r="20" customFormat="false" ht="15" hidden="false" customHeight="false" outlineLevel="0" collapsed="false">
      <c r="A20" s="21" t="n">
        <f aca="false">IF($B20="","",12)</f>
        <v>12</v>
      </c>
      <c r="B20" s="22" t="s">
        <v>144</v>
      </c>
      <c r="C20" s="23" t="n">
        <v>4.55</v>
      </c>
      <c r="D20" s="24" t="n">
        <f aca="false">IF($B20="","",$C20/1000)</f>
        <v>0.00455</v>
      </c>
      <c r="E20" s="25" t="n">
        <f aca="false">IF($B20="","",$D20*$C$4)</f>
        <v>14.56</v>
      </c>
      <c r="F20" s="26" t="str">
        <f aca="false">IF($B20="","",IF($C20=0,"Listed — not weighed",IF($E20&lt;0,"NEITHER — negative weight",IF($E20&gt;=Settings!$B$19,Settings!$B$6,IF($E20&gt;Settings!$B$14,"NEITHER — over bench capacity",IF($E20&gt;=2*Settings!$B$12,Settings!$B$11,"NEITHER — under bench resolution"))))))</f>
        <v>Main scale</v>
      </c>
      <c r="G20" s="25" t="n">
        <f aca="false">IF($B20="","",IF($F20=Settings!$B$6,MAX(2*Settings!$B$7,Settings!$B$4*$E20),IF($F20=Settings!$B$11,MAX(2*Settings!$B$12,Settings!$B$4*$E20),"")))</f>
        <v>2</v>
      </c>
      <c r="H20" s="27" t="str">
        <f aca="false">IF($B20="","",IF(LEFT($F20,6)="Listed","Quantity 0: shown on the station as a reminder, not weighed. Give it a weight to weigh it.",IF(LEFT($F20,7)="NEITHER","Cannot be weighed — split it, premix it, or raise the batch size",IF($G20&gt;Settings!$B$4*$E20+0.0001,"Held to the scale's resolution, not "&amp;TEXT(Settings!$B$4,"0%"),""))))</f>
        <v>Held to the scale's resolution, not 2%</v>
      </c>
    </row>
    <row r="21" customFormat="false" ht="15" hidden="false" customHeight="false" outlineLevel="0" collapsed="false">
      <c r="A21" s="21" t="n">
        <f aca="false">IF($B21="","",13)</f>
        <v>13</v>
      </c>
      <c r="B21" s="22" t="s">
        <v>145</v>
      </c>
      <c r="C21" s="23" t="n">
        <v>2.16</v>
      </c>
      <c r="D21" s="24" t="n">
        <f aca="false">IF($B21="","",$C21/1000)</f>
        <v>0.00216</v>
      </c>
      <c r="E21" s="25" t="n">
        <f aca="false">IF($B21="","",$D21*$C$4)</f>
        <v>6.912</v>
      </c>
      <c r="F21" s="26" t="str">
        <f aca="false">IF($B21="","",IF($C21=0,"Listed — not weighed",IF($E21&lt;0,"NEITHER — negative weight",IF($E21&gt;=Settings!$B$19,Settings!$B$6,IF($E21&gt;Settings!$B$14,"NEITHER — over bench capacity",IF($E21&gt;=2*Settings!$B$12,Settings!$B$11,"NEITHER — under bench resolution"))))))</f>
        <v>Main scale</v>
      </c>
      <c r="G21" s="25" t="n">
        <f aca="false">IF($B21="","",IF($F21=Settings!$B$6,MAX(2*Settings!$B$7,Settings!$B$4*$E21),IF($F21=Settings!$B$11,MAX(2*Settings!$B$12,Settings!$B$4*$E21),"")))</f>
        <v>2</v>
      </c>
      <c r="H21" s="27" t="str">
        <f aca="false">IF($B21="","",IF(LEFT($F21,6)="Listed","Quantity 0: shown on the station as a reminder, not weighed. Give it a weight to weigh it.",IF(LEFT($F21,7)="NEITHER","Cannot be weighed — split it, premix it, or raise the batch size",IF($G21&gt;Settings!$B$4*$E21+0.0001,"Held to the scale's resolution, not "&amp;TEXT(Settings!$B$4,"0%"),""))))</f>
        <v>Held to the scale's resolution, not 2%</v>
      </c>
    </row>
    <row r="22" customFormat="false" ht="15" hidden="false" customHeight="false" outlineLevel="0" collapsed="false">
      <c r="A22" s="21" t="n">
        <f aca="false">IF($B22="","",14)</f>
        <v>14</v>
      </c>
      <c r="B22" s="22" t="s">
        <v>146</v>
      </c>
      <c r="C22" s="23" t="n">
        <v>2.3</v>
      </c>
      <c r="D22" s="24" t="n">
        <f aca="false">IF($B22="","",$C22/1000)</f>
        <v>0.0023</v>
      </c>
      <c r="E22" s="25" t="n">
        <f aca="false">IF($B22="","",$D22*$C$4)</f>
        <v>7.36</v>
      </c>
      <c r="F22" s="26" t="str">
        <f aca="false">IF($B22="","",IF($C22=0,"Listed — not weighed",IF($E22&lt;0,"NEITHER — negative weight",IF($E22&gt;=Settings!$B$19,Settings!$B$6,IF($E22&gt;Settings!$B$14,"NEITHER — over bench capacity",IF($E22&gt;=2*Settings!$B$12,Settings!$B$11,"NEITHER — under bench resolution"))))))</f>
        <v>Main scale</v>
      </c>
      <c r="G22" s="25" t="n">
        <f aca="false">IF($B22="","",IF($F22=Settings!$B$6,MAX(2*Settings!$B$7,Settings!$B$4*$E22),IF($F22=Settings!$B$11,MAX(2*Settings!$B$12,Settings!$B$4*$E22),"")))</f>
        <v>2</v>
      </c>
      <c r="H22" s="27" t="str">
        <f aca="false">IF($B22="","",IF(LEFT($F22,6)="Listed","Quantity 0: shown on the station as a reminder, not weighed. Give it a weight to weigh it.",IF(LEFT($F22,7)="NEITHER","Cannot be weighed — split it, premix it, or raise the batch size",IF($G22&gt;Settings!$B$4*$E22+0.0001,"Held to the scale's resolution, not "&amp;TEXT(Settings!$B$4,"0%"),""))))</f>
        <v>Held to the scale's resolution, not 2%</v>
      </c>
    </row>
    <row r="23" customFormat="false" ht="15" hidden="false" customHeight="false" outlineLevel="0" collapsed="false">
      <c r="A23" s="21" t="n">
        <f aca="false">IF($B23="","",15)</f>
        <v>15</v>
      </c>
      <c r="B23" s="22" t="s">
        <v>147</v>
      </c>
      <c r="C23" s="23" t="n">
        <v>1.32</v>
      </c>
      <c r="D23" s="24" t="n">
        <f aca="false">IF($B23="","",$C23/1000)</f>
        <v>0.00132</v>
      </c>
      <c r="E23" s="25" t="n">
        <f aca="false">IF($B23="","",$D23*$C$4)</f>
        <v>4.224</v>
      </c>
      <c r="F23" s="26" t="str">
        <f aca="false">IF($B23="","",IF($C23=0,"Listed — not weighed",IF($E23&lt;0,"NEITHER — negative weight",IF($E23&gt;=Settings!$B$19,Settings!$B$6,IF($E23&gt;Settings!$B$14,"NEITHER — over bench capacity",IF($E23&gt;=2*Settings!$B$12,Settings!$B$11,"NEITHER — under bench resolution"))))))</f>
        <v>Main scale</v>
      </c>
      <c r="G23" s="25" t="n">
        <f aca="false">IF($B23="","",IF($F23=Settings!$B$6,MAX(2*Settings!$B$7,Settings!$B$4*$E23),IF($F23=Settings!$B$11,MAX(2*Settings!$B$12,Settings!$B$4*$E23),"")))</f>
        <v>2</v>
      </c>
      <c r="H23" s="27" t="str">
        <f aca="false">IF($B23="","",IF(LEFT($F23,6)="Listed","Quantity 0: shown on the station as a reminder, not weighed. Give it a weight to weigh it.",IF(LEFT($F23,7)="NEITHER","Cannot be weighed — split it, premix it, or raise the batch size",IF($G23&gt;Settings!$B$4*$E23+0.0001,"Held to the scale's resolution, not "&amp;TEXT(Settings!$B$4,"0%"),""))))</f>
        <v>Held to the scale's resolution, not 2%</v>
      </c>
    </row>
    <row r="24" customFormat="false" ht="15" hidden="false" customHeight="false" outlineLevel="0" collapsed="false">
      <c r="A24" s="21" t="n">
        <f aca="false">IF($B24="","",16)</f>
        <v>16</v>
      </c>
      <c r="B24" s="22" t="s">
        <v>148</v>
      </c>
      <c r="C24" s="23" t="n">
        <v>1.2</v>
      </c>
      <c r="D24" s="24" t="n">
        <f aca="false">IF($B24="","",$C24/1000)</f>
        <v>0.0012</v>
      </c>
      <c r="E24" s="25" t="n">
        <f aca="false">IF($B24="","",$D24*$C$4)</f>
        <v>3.84</v>
      </c>
      <c r="F24" s="26" t="str">
        <f aca="false">IF($B24="","",IF($C24=0,"Listed — not weighed",IF($E24&lt;0,"NEITHER — negative weight",IF($E24&gt;=Settings!$B$19,Settings!$B$6,IF($E24&gt;Settings!$B$14,"NEITHER — over bench capacity",IF($E24&gt;=2*Settings!$B$12,Settings!$B$11,"NEITHER — under bench resolution"))))))</f>
        <v>Small scale</v>
      </c>
      <c r="G24" s="25" t="n">
        <f aca="false">IF($B24="","",IF($F24=Settings!$B$6,MAX(2*Settings!$B$7,Settings!$B$4*$E24),IF($F24=Settings!$B$11,MAX(2*Settings!$B$12,Settings!$B$4*$E24),"")))</f>
        <v>0.2</v>
      </c>
      <c r="H24" s="27" t="str">
        <f aca="false">IF($B24="","",IF(LEFT($F24,6)="Listed","Quantity 0: shown on the station as a reminder, not weighed. Give it a weight to weigh it.",IF(LEFT($F24,7)="NEITHER","Cannot be weighed — split it, premix it, or raise the batch size",IF($G24&gt;Settings!$B$4*$E24+0.0001,"Held to the scale's resolution, not "&amp;TEXT(Settings!$B$4,"0%"),""))))</f>
        <v>Held to the scale's resolution, not 2%</v>
      </c>
    </row>
    <row r="25" customFormat="false" ht="15" hidden="false" customHeight="false" outlineLevel="0" collapsed="false">
      <c r="A25" s="21" t="n">
        <f aca="false">IF($B25="","",17)</f>
        <v>17</v>
      </c>
      <c r="B25" s="22" t="s">
        <v>149</v>
      </c>
      <c r="C25" s="23" t="n">
        <v>14</v>
      </c>
      <c r="D25" s="24" t="n">
        <f aca="false">IF($B25="","",$C25/1000)</f>
        <v>0.014</v>
      </c>
      <c r="E25" s="25" t="n">
        <f aca="false">IF($B25="","",$D25*$C$4)</f>
        <v>44.8</v>
      </c>
      <c r="F25" s="26" t="str">
        <f aca="false">IF($B25="","",IF($C25=0,"Listed — not weighed",IF($E25&lt;0,"NEITHER — negative weight",IF($E25&gt;=Settings!$B$19,Settings!$B$6,IF($E25&gt;Settings!$B$14,"NEITHER — over bench capacity",IF($E25&gt;=2*Settings!$B$12,Settings!$B$11,"NEITHER — under bench resolution"))))))</f>
        <v>Main scale</v>
      </c>
      <c r="G25" s="25" t="n">
        <f aca="false">IF($B25="","",IF($F25=Settings!$B$6,MAX(2*Settings!$B$7,Settings!$B$4*$E25),IF($F25=Settings!$B$11,MAX(2*Settings!$B$12,Settings!$B$4*$E25),"")))</f>
        <v>2</v>
      </c>
      <c r="H25" s="27" t="str">
        <f aca="false">IF($B25="","",IF(LEFT($F25,6)="Listed","Quantity 0: shown on the station as a reminder, not weighed. Give it a weight to weigh it.",IF(LEFT($F25,7)="NEITHER","Cannot be weighed — split it, premix it, or raise the batch size",IF($G25&gt;Settings!$B$4*$E25+0.0001,"Held to the scale's resolution, not "&amp;TEXT(Settings!$B$4,"0%"),""))))</f>
        <v>Held to the scale's resolution, not 2%</v>
      </c>
    </row>
    <row r="26" customFormat="false" ht="15" hidden="false" customHeight="false" outlineLevel="0" collapsed="false">
      <c r="A26" s="21" t="n">
        <f aca="false">IF($B26="","",18)</f>
        <v>18</v>
      </c>
      <c r="B26" s="22" t="s">
        <v>150</v>
      </c>
      <c r="C26" s="23" t="n">
        <v>20</v>
      </c>
      <c r="D26" s="24" t="n">
        <f aca="false">IF($B26="","",$C26/1000)</f>
        <v>0.02</v>
      </c>
      <c r="E26" s="25" t="n">
        <f aca="false">IF($B26="","",$D26*$C$4)</f>
        <v>64</v>
      </c>
      <c r="F26" s="26" t="str">
        <f aca="false">IF($B26="","",IF($C26=0,"Listed — not weighed",IF($E26&lt;0,"NEITHER — negative weight",IF($E26&gt;=Settings!$B$19,Settings!$B$6,IF($E26&gt;Settings!$B$14,"NEITHER — over bench capacity",IF($E26&gt;=2*Settings!$B$12,Settings!$B$11,"NEITHER — under bench resolution"))))))</f>
        <v>Main scale</v>
      </c>
      <c r="G26" s="25" t="n">
        <f aca="false">IF($B26="","",IF($F26=Settings!$B$6,MAX(2*Settings!$B$7,Settings!$B$4*$E26),IF($F26=Settings!$B$11,MAX(2*Settings!$B$12,Settings!$B$4*$E26),"")))</f>
        <v>2</v>
      </c>
      <c r="H26" s="27" t="str">
        <f aca="false">IF($B26="","",IF(LEFT($F26,6)="Listed","Quantity 0: shown on the station as a reminder, not weighed. Give it a weight to weigh it.",IF(LEFT($F26,7)="NEITHER","Cannot be weighed — split it, premix it, or raise the batch size",IF($G26&gt;Settings!$B$4*$E26+0.0001,"Held to the scale's resolution, not "&amp;TEXT(Settings!$B$4,"0%"),""))))</f>
        <v>Held to the scale's resolution, not 2%</v>
      </c>
    </row>
    <row r="27" customFormat="false" ht="15" hidden="false" customHeight="false" outlineLevel="0" collapsed="false">
      <c r="A27" s="21" t="n">
        <f aca="false">IF($B27="","",19)</f>
        <v>19</v>
      </c>
      <c r="B27" s="22" t="s">
        <v>151</v>
      </c>
      <c r="C27" s="23" t="n">
        <v>66.5</v>
      </c>
      <c r="D27" s="24" t="n">
        <f aca="false">IF($B27="","",$C27/1000)</f>
        <v>0.0665</v>
      </c>
      <c r="E27" s="25" t="n">
        <f aca="false">IF($B27="","",$D27*$C$4)</f>
        <v>212.8</v>
      </c>
      <c r="F27" s="26" t="str">
        <f aca="false">IF($B27="","",IF($C27=0,"Listed — not weighed",IF($E27&lt;0,"NEITHER — negative weight",IF($E27&gt;=Settings!$B$19,Settings!$B$6,IF($E27&gt;Settings!$B$14,"NEITHER — over bench capacity",IF($E27&gt;=2*Settings!$B$12,Settings!$B$11,"NEITHER — under bench resolution"))))))</f>
        <v>Main scale</v>
      </c>
      <c r="G27" s="25" t="n">
        <f aca="false">IF($B27="","",IF($F27=Settings!$B$6,MAX(2*Settings!$B$7,Settings!$B$4*$E27),IF($F27=Settings!$B$11,MAX(2*Settings!$B$12,Settings!$B$4*$E27),"")))</f>
        <v>4.256</v>
      </c>
      <c r="H27" s="27" t="str">
        <f aca="false">IF($B27="","",IF(LEFT($F27,6)="Listed","Quantity 0: shown on the station as a reminder, not weighed. Give it a weight to weigh it.",IF(LEFT($F27,7)="NEITHER","Cannot be weighed — split it, premix it, or raise the batch size",IF($G27&gt;Settings!$B$4*$E27+0.0001,"Held to the scale's resolution, not "&amp;TEXT(Settings!$B$4,"0%"),""))))</f>
        <v/>
      </c>
    </row>
    <row r="28" customFormat="false" ht="15" hidden="false" customHeight="false" outlineLevel="0" collapsed="false">
      <c r="A28" s="21" t="str">
        <f aca="false">IF($B28="","",20)</f>
        <v/>
      </c>
      <c r="B28" s="22"/>
      <c r="C28" s="23"/>
      <c r="D28" s="24" t="str">
        <f aca="false">IF($B28="","",$C28/1000)</f>
        <v/>
      </c>
      <c r="E28" s="25" t="str">
        <f aca="false">IF($B28="","",$D28*$C$4)</f>
        <v/>
      </c>
      <c r="F28" s="26" t="str">
        <f aca="false">IF($B28="","",IF($C28=0,"Listed — not weighed",IF($E28&lt;0,"NEITHER — negative weight",IF($E28&gt;=Settings!$B$19,Settings!$B$6,IF($E28&gt;Settings!$B$14,"NEITHER — over bench capacity",IF($E28&gt;=2*Settings!$B$12,Settings!$B$11,"NEITHER — under bench resolution"))))))</f>
        <v/>
      </c>
      <c r="G28" s="25" t="str">
        <f aca="false">IF($B28="","",IF($F28=Settings!$B$6,MAX(2*Settings!$B$7,Settings!$B$4*$E28),IF($F28=Settings!$B$11,MAX(2*Settings!$B$12,Settings!$B$4*$E28),"")))</f>
        <v/>
      </c>
      <c r="H28" s="27" t="str">
        <f aca="false">IF($B28="","",IF(LEFT($F28,6)="Listed","Quantity 0: shown on the station as a reminder, not weighed. Give it a weight to weigh it.",IF(LEFT($F28,7)="NEITHER","Cannot be weighed — split it, premix it, or raise the batch size",IF($G28&gt;Settings!$B$4*$E28+0.0001,"Held to the scale's resolution, not "&amp;TEXT(Settings!$B$4,"0%"),""))))</f>
        <v/>
      </c>
    </row>
    <row r="29" customFormat="false" ht="15" hidden="false" customHeight="false" outlineLevel="0" collapsed="false">
      <c r="A29" s="21" t="str">
        <f aca="false">IF($B29="","",21)</f>
        <v/>
      </c>
      <c r="B29" s="22"/>
      <c r="C29" s="23"/>
      <c r="D29" s="24" t="str">
        <f aca="false">IF($B29="","",$C29/1000)</f>
        <v/>
      </c>
      <c r="E29" s="25" t="str">
        <f aca="false">IF($B29="","",$D29*$C$4)</f>
        <v/>
      </c>
      <c r="F29" s="26" t="str">
        <f aca="false">IF($B29="","",IF($C29=0,"Listed — not weighed",IF($E29&lt;0,"NEITHER — negative weight",IF($E29&gt;=Settings!$B$19,Settings!$B$6,IF($E29&gt;Settings!$B$14,"NEITHER — over bench capacity",IF($E29&gt;=2*Settings!$B$12,Settings!$B$11,"NEITHER — under bench resolution"))))))</f>
        <v/>
      </c>
      <c r="G29" s="25" t="str">
        <f aca="false">IF($B29="","",IF($F29=Settings!$B$6,MAX(2*Settings!$B$7,Settings!$B$4*$E29),IF($F29=Settings!$B$11,MAX(2*Settings!$B$12,Settings!$B$4*$E29),"")))</f>
        <v/>
      </c>
      <c r="H29" s="27" t="str">
        <f aca="false">IF($B29="","",IF(LEFT($F29,6)="Listed","Quantity 0: shown on the station as a reminder, not weighed. Give it a weight to weigh it.",IF(LEFT($F29,7)="NEITHER","Cannot be weighed — split it, premix it, or raise the batch size",IF($G29&gt;Settings!$B$4*$E29+0.0001,"Held to the scale's resolution, not "&amp;TEXT(Settings!$B$4,"0%"),""))))</f>
        <v/>
      </c>
    </row>
    <row r="30" customFormat="false" ht="15" hidden="false" customHeight="false" outlineLevel="0" collapsed="false">
      <c r="A30" s="21" t="str">
        <f aca="false">IF($B30="","",22)</f>
        <v/>
      </c>
      <c r="B30" s="22"/>
      <c r="C30" s="23"/>
      <c r="D30" s="24" t="str">
        <f aca="false">IF($B30="","",$C30/1000)</f>
        <v/>
      </c>
      <c r="E30" s="25" t="str">
        <f aca="false">IF($B30="","",$D30*$C$4)</f>
        <v/>
      </c>
      <c r="F30" s="26" t="str">
        <f aca="false">IF($B30="","",IF($C30=0,"Listed — not weighed",IF($E30&lt;0,"NEITHER — negative weight",IF($E30&gt;=Settings!$B$19,Settings!$B$6,IF($E30&gt;Settings!$B$14,"NEITHER — over bench capacity",IF($E30&gt;=2*Settings!$B$12,Settings!$B$11,"NEITHER — under bench resolution"))))))</f>
        <v/>
      </c>
      <c r="G30" s="25" t="str">
        <f aca="false">IF($B30="","",IF($F30=Settings!$B$6,MAX(2*Settings!$B$7,Settings!$B$4*$E30),IF($F30=Settings!$B$11,MAX(2*Settings!$B$12,Settings!$B$4*$E30),"")))</f>
        <v/>
      </c>
      <c r="H30" s="27" t="str">
        <f aca="false">IF($B30="","",IF(LEFT($F30,6)="Listed","Quantity 0: shown on the station as a reminder, not weighed. Give it a weight to weigh it.",IF(LEFT($F30,7)="NEITHER","Cannot be weighed — split it, premix it, or raise the batch size",IF($G30&gt;Settings!$B$4*$E30+0.0001,"Held to the scale's resolution, not "&amp;TEXT(Settings!$B$4,"0%"),""))))</f>
        <v/>
      </c>
    </row>
    <row r="31" customFormat="false" ht="15" hidden="false" customHeight="false" outlineLevel="0" collapsed="false">
      <c r="A31" s="21" t="str">
        <f aca="false">IF($B31="","",23)</f>
        <v/>
      </c>
      <c r="B31" s="22"/>
      <c r="C31" s="23"/>
      <c r="D31" s="24" t="str">
        <f aca="false">IF($B31="","",$C31/1000)</f>
        <v/>
      </c>
      <c r="E31" s="25" t="str">
        <f aca="false">IF($B31="","",$D31*$C$4)</f>
        <v/>
      </c>
      <c r="F31" s="26" t="str">
        <f aca="false">IF($B31="","",IF($C31=0,"Listed — not weighed",IF($E31&lt;0,"NEITHER — negative weight",IF($E31&gt;=Settings!$B$19,Settings!$B$6,IF($E31&gt;Settings!$B$14,"NEITHER — over bench capacity",IF($E31&gt;=2*Settings!$B$12,Settings!$B$11,"NEITHER — under bench resolution"))))))</f>
        <v/>
      </c>
      <c r="G31" s="25" t="str">
        <f aca="false">IF($B31="","",IF($F31=Settings!$B$6,MAX(2*Settings!$B$7,Settings!$B$4*$E31),IF($F31=Settings!$B$11,MAX(2*Settings!$B$12,Settings!$B$4*$E31),"")))</f>
        <v/>
      </c>
      <c r="H31" s="27" t="str">
        <f aca="false">IF($B31="","",IF(LEFT($F31,6)="Listed","Quantity 0: shown on the station as a reminder, not weighed. Give it a weight to weigh it.",IF(LEFT($F31,7)="NEITHER","Cannot be weighed — split it, premix it, or raise the batch size",IF($G31&gt;Settings!$B$4*$E31+0.0001,"Held to the scale's resolution, not "&amp;TEXT(Settings!$B$4,"0%"),""))))</f>
        <v/>
      </c>
    </row>
    <row r="32" customFormat="false" ht="15" hidden="false" customHeight="false" outlineLevel="0" collapsed="false">
      <c r="A32" s="21" t="str">
        <f aca="false">IF($B32="","",24)</f>
        <v/>
      </c>
      <c r="B32" s="22"/>
      <c r="C32" s="23"/>
      <c r="D32" s="24" t="str">
        <f aca="false">IF($B32="","",$C32/1000)</f>
        <v/>
      </c>
      <c r="E32" s="25" t="str">
        <f aca="false">IF($B32="","",$D32*$C$4)</f>
        <v/>
      </c>
      <c r="F32" s="26" t="str">
        <f aca="false">IF($B32="","",IF($C32=0,"Listed — not weighed",IF($E32&lt;0,"NEITHER — negative weight",IF($E32&gt;=Settings!$B$19,Settings!$B$6,IF($E32&gt;Settings!$B$14,"NEITHER — over bench capacity",IF($E32&gt;=2*Settings!$B$12,Settings!$B$11,"NEITHER — under bench resolution"))))))</f>
        <v/>
      </c>
      <c r="G32" s="25" t="str">
        <f aca="false">IF($B32="","",IF($F32=Settings!$B$6,MAX(2*Settings!$B$7,Settings!$B$4*$E32),IF($F32=Settings!$B$11,MAX(2*Settings!$B$12,Settings!$B$4*$E32),"")))</f>
        <v/>
      </c>
      <c r="H32" s="27" t="str">
        <f aca="false">IF($B32="","",IF(LEFT($F32,6)="Listed","Quantity 0: shown on the station as a reminder, not weighed. Give it a weight to weigh it.",IF(LEFT($F32,7)="NEITHER","Cannot be weighed — split it, premix it, or raise the batch size",IF($G32&gt;Settings!$B$4*$E32+0.0001,"Held to the scale's resolution, not "&amp;TEXT(Settings!$B$4,"0%"),""))))</f>
        <v/>
      </c>
    </row>
    <row r="33" customFormat="false" ht="15" hidden="false" customHeight="false" outlineLevel="0" collapsed="false">
      <c r="A33" s="21" t="str">
        <f aca="false">IF($B33="","",25)</f>
        <v/>
      </c>
      <c r="B33" s="22"/>
      <c r="C33" s="23"/>
      <c r="D33" s="24" t="str">
        <f aca="false">IF($B33="","",$C33/1000)</f>
        <v/>
      </c>
      <c r="E33" s="25" t="str">
        <f aca="false">IF($B33="","",$D33*$C$4)</f>
        <v/>
      </c>
      <c r="F33" s="26" t="str">
        <f aca="false">IF($B33="","",IF($C33=0,"Listed — not weighed",IF($E33&lt;0,"NEITHER — negative weight",IF($E33&gt;=Settings!$B$19,Settings!$B$6,IF($E33&gt;Settings!$B$14,"NEITHER — over bench capacity",IF($E33&gt;=2*Settings!$B$12,Settings!$B$11,"NEITHER — under bench resolution"))))))</f>
        <v/>
      </c>
      <c r="G33" s="25" t="str">
        <f aca="false">IF($B33="","",IF($F33=Settings!$B$6,MAX(2*Settings!$B$7,Settings!$B$4*$E33),IF($F33=Settings!$B$11,MAX(2*Settings!$B$12,Settings!$B$4*$E33),"")))</f>
        <v/>
      </c>
      <c r="H33" s="27" t="str">
        <f aca="false">IF($B33="","",IF(LEFT($F33,6)="Listed","Quantity 0: shown on the station as a reminder, not weighed. Give it a weight to weigh it.",IF(LEFT($F33,7)="NEITHER","Cannot be weighed — split it, premix it, or raise the batch size",IF($G33&gt;Settings!$B$4*$E33+0.0001,"Held to the scale's resolution, not "&amp;TEXT(Settings!$B$4,"0%"),""))))</f>
        <v/>
      </c>
    </row>
    <row r="34" customFormat="false" ht="15" hidden="false" customHeight="false" outlineLevel="0" collapsed="false">
      <c r="A34" s="21" t="str">
        <f aca="false">IF($B34="","",26)</f>
        <v/>
      </c>
      <c r="B34" s="22"/>
      <c r="C34" s="23"/>
      <c r="D34" s="24" t="str">
        <f aca="false">IF($B34="","",$C34/1000)</f>
        <v/>
      </c>
      <c r="E34" s="25" t="str">
        <f aca="false">IF($B34="","",$D34*$C$4)</f>
        <v/>
      </c>
      <c r="F34" s="26" t="str">
        <f aca="false">IF($B34="","",IF($C34=0,"Listed — not weighed",IF($E34&lt;0,"NEITHER — negative weight",IF($E34&gt;=Settings!$B$19,Settings!$B$6,IF($E34&gt;Settings!$B$14,"NEITHER — over bench capacity",IF($E34&gt;=2*Settings!$B$12,Settings!$B$11,"NEITHER — under bench resolution"))))))</f>
        <v/>
      </c>
      <c r="G34" s="25" t="str">
        <f aca="false">IF($B34="","",IF($F34=Settings!$B$6,MAX(2*Settings!$B$7,Settings!$B$4*$E34),IF($F34=Settings!$B$11,MAX(2*Settings!$B$12,Settings!$B$4*$E34),"")))</f>
        <v/>
      </c>
      <c r="H34" s="27" t="str">
        <f aca="false">IF($B34="","",IF(LEFT($F34,6)="Listed","Quantity 0: shown on the station as a reminder, not weighed. Give it a weight to weigh it.",IF(LEFT($F34,7)="NEITHER","Cannot be weighed — split it, premix it, or raise the batch size",IF($G34&gt;Settings!$B$4*$E34+0.0001,"Held to the scale's resolution, not "&amp;TEXT(Settings!$B$4,"0%"),""))))</f>
        <v/>
      </c>
    </row>
    <row r="35" customFormat="false" ht="15" hidden="false" customHeight="false" outlineLevel="0" collapsed="false">
      <c r="A35" s="21" t="str">
        <f aca="false">IF($B35="","",27)</f>
        <v/>
      </c>
      <c r="B35" s="22"/>
      <c r="C35" s="23"/>
      <c r="D35" s="24" t="str">
        <f aca="false">IF($B35="","",$C35/1000)</f>
        <v/>
      </c>
      <c r="E35" s="25" t="str">
        <f aca="false">IF($B35="","",$D35*$C$4)</f>
        <v/>
      </c>
      <c r="F35" s="26" t="str">
        <f aca="false">IF($B35="","",IF($C35=0,"Listed — not weighed",IF($E35&lt;0,"NEITHER — negative weight",IF($E35&gt;=Settings!$B$19,Settings!$B$6,IF($E35&gt;Settings!$B$14,"NEITHER — over bench capacity",IF($E35&gt;=2*Settings!$B$12,Settings!$B$11,"NEITHER — under bench resolution"))))))</f>
        <v/>
      </c>
      <c r="G35" s="25" t="str">
        <f aca="false">IF($B35="","",IF($F35=Settings!$B$6,MAX(2*Settings!$B$7,Settings!$B$4*$E35),IF($F35=Settings!$B$11,MAX(2*Settings!$B$12,Settings!$B$4*$E35),"")))</f>
        <v/>
      </c>
      <c r="H35" s="27" t="str">
        <f aca="false">IF($B35="","",IF(LEFT($F35,6)="Listed","Quantity 0: shown on the station as a reminder, not weighed. Give it a weight to weigh it.",IF(LEFT($F35,7)="NEITHER","Cannot be weighed — split it, premix it, or raise the batch size",IF($G35&gt;Settings!$B$4*$E35+0.0001,"Held to the scale's resolution, not "&amp;TEXT(Settings!$B$4,"0%"),""))))</f>
        <v/>
      </c>
    </row>
    <row r="36" customFormat="false" ht="15" hidden="false" customHeight="false" outlineLevel="0" collapsed="false">
      <c r="A36" s="21" t="str">
        <f aca="false">IF($B36="","",28)</f>
        <v/>
      </c>
      <c r="B36" s="22"/>
      <c r="C36" s="23"/>
      <c r="D36" s="24" t="str">
        <f aca="false">IF($B36="","",$C36/1000)</f>
        <v/>
      </c>
      <c r="E36" s="25" t="str">
        <f aca="false">IF($B36="","",$D36*$C$4)</f>
        <v/>
      </c>
      <c r="F36" s="26" t="str">
        <f aca="false">IF($B36="","",IF($C36=0,"Listed — not weighed",IF($E36&lt;0,"NEITHER — negative weight",IF($E36&gt;=Settings!$B$19,Settings!$B$6,IF($E36&gt;Settings!$B$14,"NEITHER — over bench capacity",IF($E36&gt;=2*Settings!$B$12,Settings!$B$11,"NEITHER — under bench resolution"))))))</f>
        <v/>
      </c>
      <c r="G36" s="25" t="str">
        <f aca="false">IF($B36="","",IF($F36=Settings!$B$6,MAX(2*Settings!$B$7,Settings!$B$4*$E36),IF($F36=Settings!$B$11,MAX(2*Settings!$B$12,Settings!$B$4*$E36),"")))</f>
        <v/>
      </c>
      <c r="H36" s="27" t="str">
        <f aca="false">IF($B36="","",IF(LEFT($F36,6)="Listed","Quantity 0: shown on the station as a reminder, not weighed. Give it a weight to weigh it.",IF(LEFT($F36,7)="NEITHER","Cannot be weighed — split it, premix it, or raise the batch size",IF($G36&gt;Settings!$B$4*$E36+0.0001,"Held to the scale's resolution, not "&amp;TEXT(Settings!$B$4,"0%"),""))))</f>
        <v/>
      </c>
    </row>
    <row r="37" customFormat="false" ht="15" hidden="false" customHeight="false" outlineLevel="0" collapsed="false">
      <c r="A37" s="21" t="str">
        <f aca="false">IF($B37="","",29)</f>
        <v/>
      </c>
      <c r="B37" s="22"/>
      <c r="C37" s="23"/>
      <c r="D37" s="24" t="str">
        <f aca="false">IF($B37="","",$C37/1000)</f>
        <v/>
      </c>
      <c r="E37" s="25" t="str">
        <f aca="false">IF($B37="","",$D37*$C$4)</f>
        <v/>
      </c>
      <c r="F37" s="26" t="str">
        <f aca="false">IF($B37="","",IF($C37=0,"Listed — not weighed",IF($E37&lt;0,"NEITHER — negative weight",IF($E37&gt;=Settings!$B$19,Settings!$B$6,IF($E37&gt;Settings!$B$14,"NEITHER — over bench capacity",IF($E37&gt;=2*Settings!$B$12,Settings!$B$11,"NEITHER — under bench resolution"))))))</f>
        <v/>
      </c>
      <c r="G37" s="25" t="str">
        <f aca="false">IF($B37="","",IF($F37=Settings!$B$6,MAX(2*Settings!$B$7,Settings!$B$4*$E37),IF($F37=Settings!$B$11,MAX(2*Settings!$B$12,Settings!$B$4*$E37),"")))</f>
        <v/>
      </c>
      <c r="H37" s="27" t="str">
        <f aca="false">IF($B37="","",IF(LEFT($F37,6)="Listed","Quantity 0: shown on the station as a reminder, not weighed. Give it a weight to weigh it.",IF(LEFT($F37,7)="NEITHER","Cannot be weighed — split it, premix it, or raise the batch size",IF($G37&gt;Settings!$B$4*$E37+0.0001,"Held to the scale's resolution, not "&amp;TEXT(Settings!$B$4,"0%"),""))))</f>
        <v/>
      </c>
    </row>
    <row r="38" customFormat="false" ht="15" hidden="false" customHeight="false" outlineLevel="0" collapsed="false">
      <c r="A38" s="21" t="str">
        <f aca="false">IF($B38="","",30)</f>
        <v/>
      </c>
      <c r="B38" s="22"/>
      <c r="C38" s="23"/>
      <c r="D38" s="24" t="str">
        <f aca="false">IF($B38="","",$C38/1000)</f>
        <v/>
      </c>
      <c r="E38" s="25" t="str">
        <f aca="false">IF($B38="","",$D38*$C$4)</f>
        <v/>
      </c>
      <c r="F38" s="26" t="str">
        <f aca="false">IF($B38="","",IF($C38=0,"Listed — not weighed",IF($E38&lt;0,"NEITHER — negative weight",IF($E38&gt;=Settings!$B$19,Settings!$B$6,IF($E38&gt;Settings!$B$14,"NEITHER — over bench capacity",IF($E38&gt;=2*Settings!$B$12,Settings!$B$11,"NEITHER — under bench resolution"))))))</f>
        <v/>
      </c>
      <c r="G38" s="25" t="str">
        <f aca="false">IF($B38="","",IF($F38=Settings!$B$6,MAX(2*Settings!$B$7,Settings!$B$4*$E38),IF($F38=Settings!$B$11,MAX(2*Settings!$B$12,Settings!$B$4*$E38),"")))</f>
        <v/>
      </c>
      <c r="H38" s="27" t="str">
        <f aca="false">IF($B38="","",IF(LEFT($F38,6)="Listed","Quantity 0: shown on the station as a reminder, not weighed. Give it a weight to weigh it.",IF(LEFT($F38,7)="NEITHER","Cannot be weighed — split it, premix it, or raise the batch size",IF($G38&gt;Settings!$B$4*$E38+0.0001,"Held to the scale's resolution, not "&amp;TEXT(Settings!$B$4,"0%"),""))))</f>
        <v/>
      </c>
    </row>
    <row r="39" customFormat="false" ht="15" hidden="false" customHeight="false" outlineLevel="0" collapsed="false">
      <c r="A39" s="21" t="str">
        <f aca="false">IF($B39="","",31)</f>
        <v/>
      </c>
      <c r="B39" s="22"/>
      <c r="C39" s="23"/>
      <c r="D39" s="24" t="str">
        <f aca="false">IF($B39="","",$C39/1000)</f>
        <v/>
      </c>
      <c r="E39" s="25" t="str">
        <f aca="false">IF($B39="","",$D39*$C$4)</f>
        <v/>
      </c>
      <c r="F39" s="26" t="str">
        <f aca="false">IF($B39="","",IF($C39=0,"Listed — not weighed",IF($E39&lt;0,"NEITHER — negative weight",IF($E39&gt;=Settings!$B$19,Settings!$B$6,IF($E39&gt;Settings!$B$14,"NEITHER — over bench capacity",IF($E39&gt;=2*Settings!$B$12,Settings!$B$11,"NEITHER — under bench resolution"))))))</f>
        <v/>
      </c>
      <c r="G39" s="25" t="str">
        <f aca="false">IF($B39="","",IF($F39=Settings!$B$6,MAX(2*Settings!$B$7,Settings!$B$4*$E39),IF($F39=Settings!$B$11,MAX(2*Settings!$B$12,Settings!$B$4*$E39),"")))</f>
        <v/>
      </c>
      <c r="H39" s="27" t="str">
        <f aca="false">IF($B39="","",IF(LEFT($F39,6)="Listed","Quantity 0: shown on the station as a reminder, not weighed. Give it a weight to weigh it.",IF(LEFT($F39,7)="NEITHER","Cannot be weighed — split it, premix it, or raise the batch size",IF($G39&gt;Settings!$B$4*$E39+0.0001,"Held to the scale's resolution, not "&amp;TEXT(Settings!$B$4,"0%"),""))))</f>
        <v/>
      </c>
    </row>
    <row r="40" customFormat="false" ht="15" hidden="false" customHeight="false" outlineLevel="0" collapsed="false">
      <c r="A40" s="21" t="str">
        <f aca="false">IF($B40="","",32)</f>
        <v/>
      </c>
      <c r="B40" s="22"/>
      <c r="C40" s="23"/>
      <c r="D40" s="24" t="str">
        <f aca="false">IF($B40="","",$C40/1000)</f>
        <v/>
      </c>
      <c r="E40" s="25" t="str">
        <f aca="false">IF($B40="","",$D40*$C$4)</f>
        <v/>
      </c>
      <c r="F40" s="26" t="str">
        <f aca="false">IF($B40="","",IF($C40=0,"Listed — not weighed",IF($E40&lt;0,"NEITHER — negative weight",IF($E40&gt;=Settings!$B$19,Settings!$B$6,IF($E40&gt;Settings!$B$14,"NEITHER — over bench capacity",IF($E40&gt;=2*Settings!$B$12,Settings!$B$11,"NEITHER — under bench resolution"))))))</f>
        <v/>
      </c>
      <c r="G40" s="25" t="str">
        <f aca="false">IF($B40="","",IF($F40=Settings!$B$6,MAX(2*Settings!$B$7,Settings!$B$4*$E40),IF($F40=Settings!$B$11,MAX(2*Settings!$B$12,Settings!$B$4*$E40),"")))</f>
        <v/>
      </c>
      <c r="H40" s="27" t="str">
        <f aca="false">IF($B40="","",IF(LEFT($F40,6)="Listed","Quantity 0: shown on the station as a reminder, not weighed. Give it a weight to weigh it.",IF(LEFT($F40,7)="NEITHER","Cannot be weighed — split it, premix it, or raise the batch size",IF($G40&gt;Settings!$B$4*$E40+0.0001,"Held to the scale's resolution, not "&amp;TEXT(Settings!$B$4,"0%"),""))))</f>
        <v/>
      </c>
    </row>
    <row r="41" customFormat="false" ht="15" hidden="false" customHeight="false" outlineLevel="0" collapsed="false">
      <c r="A41" s="21" t="str">
        <f aca="false">IF($B41="","",33)</f>
        <v/>
      </c>
      <c r="B41" s="22"/>
      <c r="C41" s="23"/>
      <c r="D41" s="24" t="str">
        <f aca="false">IF($B41="","",$C41/1000)</f>
        <v/>
      </c>
      <c r="E41" s="25" t="str">
        <f aca="false">IF($B41="","",$D41*$C$4)</f>
        <v/>
      </c>
      <c r="F41" s="26" t="str">
        <f aca="false">IF($B41="","",IF($C41=0,"Listed — not weighed",IF($E41&lt;0,"NEITHER — negative weight",IF($E41&gt;=Settings!$B$19,Settings!$B$6,IF($E41&gt;Settings!$B$14,"NEITHER — over bench capacity",IF($E41&gt;=2*Settings!$B$12,Settings!$B$11,"NEITHER — under bench resolution"))))))</f>
        <v/>
      </c>
      <c r="G41" s="25" t="str">
        <f aca="false">IF($B41="","",IF($F41=Settings!$B$6,MAX(2*Settings!$B$7,Settings!$B$4*$E41),IF($F41=Settings!$B$11,MAX(2*Settings!$B$12,Settings!$B$4*$E41),"")))</f>
        <v/>
      </c>
      <c r="H41" s="27" t="str">
        <f aca="false">IF($B41="","",IF(LEFT($F41,6)="Listed","Quantity 0: shown on the station as a reminder, not weighed. Give it a weight to weigh it.",IF(LEFT($F41,7)="NEITHER","Cannot be weighed — split it, premix it, or raise the batch size",IF($G41&gt;Settings!$B$4*$E41+0.0001,"Held to the scale's resolution, not "&amp;TEXT(Settings!$B$4,"0%"),""))))</f>
        <v/>
      </c>
    </row>
    <row r="42" customFormat="false" ht="15" hidden="false" customHeight="false" outlineLevel="0" collapsed="false">
      <c r="A42" s="21" t="str">
        <f aca="false">IF($B42="","",34)</f>
        <v/>
      </c>
      <c r="B42" s="22"/>
      <c r="C42" s="23"/>
      <c r="D42" s="24" t="str">
        <f aca="false">IF($B42="","",$C42/1000)</f>
        <v/>
      </c>
      <c r="E42" s="25" t="str">
        <f aca="false">IF($B42="","",$D42*$C$4)</f>
        <v/>
      </c>
      <c r="F42" s="26" t="str">
        <f aca="false">IF($B42="","",IF($C42=0,"Listed — not weighed",IF($E42&lt;0,"NEITHER — negative weight",IF($E42&gt;=Settings!$B$19,Settings!$B$6,IF($E42&gt;Settings!$B$14,"NEITHER — over bench capacity",IF($E42&gt;=2*Settings!$B$12,Settings!$B$11,"NEITHER — under bench resolution"))))))</f>
        <v/>
      </c>
      <c r="G42" s="25" t="str">
        <f aca="false">IF($B42="","",IF($F42=Settings!$B$6,MAX(2*Settings!$B$7,Settings!$B$4*$E42),IF($F42=Settings!$B$11,MAX(2*Settings!$B$12,Settings!$B$4*$E42),"")))</f>
        <v/>
      </c>
      <c r="H42" s="27" t="str">
        <f aca="false">IF($B42="","",IF(LEFT($F42,6)="Listed","Quantity 0: shown on the station as a reminder, not weighed. Give it a weight to weigh it.",IF(LEFT($F42,7)="NEITHER","Cannot be weighed — split it, premix it, or raise the batch size",IF($G42&gt;Settings!$B$4*$E42+0.0001,"Held to the scale's resolution, not "&amp;TEXT(Settings!$B$4,"0%"),""))))</f>
        <v/>
      </c>
    </row>
    <row r="43" customFormat="false" ht="15" hidden="false" customHeight="false" outlineLevel="0" collapsed="false">
      <c r="A43" s="21" t="str">
        <f aca="false">IF($B43="","",35)</f>
        <v/>
      </c>
      <c r="B43" s="22"/>
      <c r="C43" s="23"/>
      <c r="D43" s="24" t="str">
        <f aca="false">IF($B43="","",$C43/1000)</f>
        <v/>
      </c>
      <c r="E43" s="25" t="str">
        <f aca="false">IF($B43="","",$D43*$C$4)</f>
        <v/>
      </c>
      <c r="F43" s="26" t="str">
        <f aca="false">IF($B43="","",IF($C43=0,"Listed — not weighed",IF($E43&lt;0,"NEITHER — negative weight",IF($E43&gt;=Settings!$B$19,Settings!$B$6,IF($E43&gt;Settings!$B$14,"NEITHER — over bench capacity",IF($E43&gt;=2*Settings!$B$12,Settings!$B$11,"NEITHER — under bench resolution"))))))</f>
        <v/>
      </c>
      <c r="G43" s="25" t="str">
        <f aca="false">IF($B43="","",IF($F43=Settings!$B$6,MAX(2*Settings!$B$7,Settings!$B$4*$E43),IF($F43=Settings!$B$11,MAX(2*Settings!$B$12,Settings!$B$4*$E43),"")))</f>
        <v/>
      </c>
      <c r="H43" s="27" t="str">
        <f aca="false">IF($B43="","",IF(LEFT($F43,6)="Listed","Quantity 0: shown on the station as a reminder, not weighed. Give it a weight to weigh it.",IF(LEFT($F43,7)="NEITHER","Cannot be weighed — split it, premix it, or raise the batch size",IF($G43&gt;Settings!$B$4*$E43+0.0001,"Held to the scale's resolution, not "&amp;TEXT(Settings!$B$4,"0%"),""))))</f>
        <v/>
      </c>
    </row>
    <row r="44" customFormat="false" ht="15" hidden="false" customHeight="false" outlineLevel="0" collapsed="false">
      <c r="A44" s="21" t="str">
        <f aca="false">IF($B44="","",36)</f>
        <v/>
      </c>
      <c r="B44" s="22"/>
      <c r="C44" s="23"/>
      <c r="D44" s="24" t="str">
        <f aca="false">IF($B44="","",$C44/1000)</f>
        <v/>
      </c>
      <c r="E44" s="25" t="str">
        <f aca="false">IF($B44="","",$D44*$C$4)</f>
        <v/>
      </c>
      <c r="F44" s="26" t="str">
        <f aca="false">IF($B44="","",IF($C44=0,"Listed — not weighed",IF($E44&lt;0,"NEITHER — negative weight",IF($E44&gt;=Settings!$B$19,Settings!$B$6,IF($E44&gt;Settings!$B$14,"NEITHER — over bench capacity",IF($E44&gt;=2*Settings!$B$12,Settings!$B$11,"NEITHER — under bench resolution"))))))</f>
        <v/>
      </c>
      <c r="G44" s="25" t="str">
        <f aca="false">IF($B44="","",IF($F44=Settings!$B$6,MAX(2*Settings!$B$7,Settings!$B$4*$E44),IF($F44=Settings!$B$11,MAX(2*Settings!$B$12,Settings!$B$4*$E44),"")))</f>
        <v/>
      </c>
      <c r="H44" s="27" t="str">
        <f aca="false">IF($B44="","",IF(LEFT($F44,6)="Listed","Quantity 0: shown on the station as a reminder, not weighed. Give it a weight to weigh it.",IF(LEFT($F44,7)="NEITHER","Cannot be weighed — split it, premix it, or raise the batch size",IF($G44&gt;Settings!$B$4*$E44+0.0001,"Held to the scale's resolution, not "&amp;TEXT(Settings!$B$4,"0%"),""))))</f>
        <v/>
      </c>
    </row>
    <row r="45" customFormat="false" ht="15" hidden="false" customHeight="false" outlineLevel="0" collapsed="false">
      <c r="A45" s="21" t="str">
        <f aca="false">IF($B45="","",37)</f>
        <v/>
      </c>
      <c r="B45" s="22"/>
      <c r="C45" s="23"/>
      <c r="D45" s="24" t="str">
        <f aca="false">IF($B45="","",$C45/1000)</f>
        <v/>
      </c>
      <c r="E45" s="25" t="str">
        <f aca="false">IF($B45="","",$D45*$C$4)</f>
        <v/>
      </c>
      <c r="F45" s="26" t="str">
        <f aca="false">IF($B45="","",IF($C45=0,"Listed — not weighed",IF($E45&lt;0,"NEITHER — negative weight",IF($E45&gt;=Settings!$B$19,Settings!$B$6,IF($E45&gt;Settings!$B$14,"NEITHER — over bench capacity",IF($E45&gt;=2*Settings!$B$12,Settings!$B$11,"NEITHER — under bench resolution"))))))</f>
        <v/>
      </c>
      <c r="G45" s="25" t="str">
        <f aca="false">IF($B45="","",IF($F45=Settings!$B$6,MAX(2*Settings!$B$7,Settings!$B$4*$E45),IF($F45=Settings!$B$11,MAX(2*Settings!$B$12,Settings!$B$4*$E45),"")))</f>
        <v/>
      </c>
      <c r="H45" s="27" t="str">
        <f aca="false">IF($B45="","",IF(LEFT($F45,6)="Listed","Quantity 0: shown on the station as a reminder, not weighed. Give it a weight to weigh it.",IF(LEFT($F45,7)="NEITHER","Cannot be weighed — split it, premix it, or raise the batch size",IF($G45&gt;Settings!$B$4*$E45+0.0001,"Held to the scale's resolution, not "&amp;TEXT(Settings!$B$4,"0%"),""))))</f>
        <v/>
      </c>
    </row>
    <row r="46" customFormat="false" ht="15" hidden="false" customHeight="false" outlineLevel="0" collapsed="false">
      <c r="A46" s="21" t="str">
        <f aca="false">IF($B46="","",38)</f>
        <v/>
      </c>
      <c r="B46" s="22"/>
      <c r="C46" s="23"/>
      <c r="D46" s="24" t="str">
        <f aca="false">IF($B46="","",$C46/1000)</f>
        <v/>
      </c>
      <c r="E46" s="25" t="str">
        <f aca="false">IF($B46="","",$D46*$C$4)</f>
        <v/>
      </c>
      <c r="F46" s="26" t="str">
        <f aca="false">IF($B46="","",IF($C46=0,"Listed — not weighed",IF($E46&lt;0,"NEITHER — negative weight",IF($E46&gt;=Settings!$B$19,Settings!$B$6,IF($E46&gt;Settings!$B$14,"NEITHER — over bench capacity",IF($E46&gt;=2*Settings!$B$12,Settings!$B$11,"NEITHER — under bench resolution"))))))</f>
        <v/>
      </c>
      <c r="G46" s="25" t="str">
        <f aca="false">IF($B46="","",IF($F46=Settings!$B$6,MAX(2*Settings!$B$7,Settings!$B$4*$E46),IF($F46=Settings!$B$11,MAX(2*Settings!$B$12,Settings!$B$4*$E46),"")))</f>
        <v/>
      </c>
      <c r="H46" s="27" t="str">
        <f aca="false">IF($B46="","",IF(LEFT($F46,6)="Listed","Quantity 0: shown on the station as a reminder, not weighed. Give it a weight to weigh it.",IF(LEFT($F46,7)="NEITHER","Cannot be weighed — split it, premix it, or raise the batch size",IF($G46&gt;Settings!$B$4*$E46+0.0001,"Held to the scale's resolution, not "&amp;TEXT(Settings!$B$4,"0%"),""))))</f>
        <v/>
      </c>
    </row>
    <row r="47" customFormat="false" ht="15" hidden="false" customHeight="false" outlineLevel="0" collapsed="false">
      <c r="A47" s="21" t="str">
        <f aca="false">IF($B47="","",39)</f>
        <v/>
      </c>
      <c r="B47" s="22"/>
      <c r="C47" s="23"/>
      <c r="D47" s="24" t="str">
        <f aca="false">IF($B47="","",$C47/1000)</f>
        <v/>
      </c>
      <c r="E47" s="25" t="str">
        <f aca="false">IF($B47="","",$D47*$C$4)</f>
        <v/>
      </c>
      <c r="F47" s="26" t="str">
        <f aca="false">IF($B47="","",IF($C47=0,"Listed — not weighed",IF($E47&lt;0,"NEITHER — negative weight",IF($E47&gt;=Settings!$B$19,Settings!$B$6,IF($E47&gt;Settings!$B$14,"NEITHER — over bench capacity",IF($E47&gt;=2*Settings!$B$12,Settings!$B$11,"NEITHER — under bench resolution"))))))</f>
        <v/>
      </c>
      <c r="G47" s="25" t="str">
        <f aca="false">IF($B47="","",IF($F47=Settings!$B$6,MAX(2*Settings!$B$7,Settings!$B$4*$E47),IF($F47=Settings!$B$11,MAX(2*Settings!$B$12,Settings!$B$4*$E47),"")))</f>
        <v/>
      </c>
      <c r="H47" s="27" t="str">
        <f aca="false">IF($B47="","",IF(LEFT($F47,6)="Listed","Quantity 0: shown on the station as a reminder, not weighed. Give it a weight to weigh it.",IF(LEFT($F47,7)="NEITHER","Cannot be weighed — split it, premix it, or raise the batch size",IF($G47&gt;Settings!$B$4*$E47+0.0001,"Held to the scale's resolution, not "&amp;TEXT(Settings!$B$4,"0%"),""))))</f>
        <v/>
      </c>
    </row>
    <row r="48" customFormat="false" ht="15" hidden="false" customHeight="false" outlineLevel="0" collapsed="false">
      <c r="A48" s="21" t="str">
        <f aca="false">IF($B48="","",40)</f>
        <v/>
      </c>
      <c r="B48" s="22"/>
      <c r="C48" s="23"/>
      <c r="D48" s="24" t="str">
        <f aca="false">IF($B48="","",$C48/1000)</f>
        <v/>
      </c>
      <c r="E48" s="25" t="str">
        <f aca="false">IF($B48="","",$D48*$C$4)</f>
        <v/>
      </c>
      <c r="F48" s="26" t="str">
        <f aca="false">IF($B48="","",IF($C48=0,"Listed — not weighed",IF($E48&lt;0,"NEITHER — negative weight",IF($E48&gt;=Settings!$B$19,Settings!$B$6,IF($E48&gt;Settings!$B$14,"NEITHER — over bench capacity",IF($E48&gt;=2*Settings!$B$12,Settings!$B$11,"NEITHER — under bench resolution"))))))</f>
        <v/>
      </c>
      <c r="G48" s="25" t="str">
        <f aca="false">IF($B48="","",IF($F48=Settings!$B$6,MAX(2*Settings!$B$7,Settings!$B$4*$E48),IF($F48=Settings!$B$11,MAX(2*Settings!$B$12,Settings!$B$4*$E48),"")))</f>
        <v/>
      </c>
      <c r="H48" s="27" t="str">
        <f aca="false">IF($B48="","",IF(LEFT($F48,6)="Listed","Quantity 0: shown on the station as a reminder, not weighed. Give it a weight to weigh it.",IF(LEFT($F48,7)="NEITHER","Cannot be weighed — split it, premix it, or raise the batch size",IF($G48&gt;Settings!$B$4*$E48+0.0001,"Held to the scale's resolution, not "&amp;TEXT(Settings!$B$4,"0%"),""))))</f>
        <v/>
      </c>
    </row>
    <row r="50" customFormat="false" ht="15" hidden="false" customHeight="false" outlineLevel="0" collapsed="false">
      <c r="B50" s="17" t="s">
        <v>67</v>
      </c>
      <c r="C50" s="28" t="n">
        <f aca="false">SUM(C9:C48)</f>
        <v>416.854</v>
      </c>
      <c r="D50" s="29" t="n">
        <f aca="false">SUM(D9:D48)</f>
        <v>0.416854</v>
      </c>
      <c r="E50" s="28" t="n">
        <f aca="false">SUM(E9:E48)</f>
        <v>1333.9328</v>
      </c>
    </row>
    <row r="51" customFormat="false" ht="15" hidden="false" customHeight="false" outlineLevel="0" collapsed="false">
      <c r="B51" s="5" t="s">
        <v>68</v>
      </c>
      <c r="E51" s="30" t="n">
        <f aca="false">$C$4+E50</f>
        <v>4533.9328</v>
      </c>
    </row>
    <row r="53" customFormat="false" ht="15" hidden="false" customHeight="false" outlineLevel="0" collapsed="false">
      <c r="B53" s="15" t="str">
        <f aca="false">IF(COUNTIF($F$9:$F$48,"NEITHER*")=0,"All ingredients can be weighed.","WARNING: "&amp;COUNTIF($F$9:$F$48,"NEITHER*")&amp;" ingredient(s) cannot be weighed on either scale — see the Note column.")</f>
        <v>All ingredients can be weighed.</v>
      </c>
      <c r="C53" s="15"/>
      <c r="D53" s="15"/>
      <c r="E53" s="15"/>
      <c r="F53" s="15"/>
      <c r="G53" s="15"/>
      <c r="H53" s="15"/>
    </row>
    <row r="55" customFormat="false" ht="30" hidden="false" customHeight="true" outlineLevel="0" collapsed="false">
      <c r="B55" s="31" t="s">
        <v>86</v>
      </c>
      <c r="C55" s="31"/>
      <c r="D55" s="31"/>
      <c r="E55" s="31"/>
      <c r="F55" s="31"/>
      <c r="G55" s="31"/>
      <c r="H55" s="31"/>
    </row>
  </sheetData>
  <mergeCells count="16">
    <mergeCell ref="A1:H1"/>
    <mergeCell ref="A2:H2"/>
    <mergeCell ref="A3:B3"/>
    <mergeCell ref="D3:H3"/>
    <mergeCell ref="A4:B4"/>
    <mergeCell ref="D4:H4"/>
    <mergeCell ref="A5:B5"/>
    <mergeCell ref="D5:E5"/>
    <mergeCell ref="F5:H5"/>
    <mergeCell ref="A6:B6"/>
    <mergeCell ref="D6:E6"/>
    <mergeCell ref="F6:H6"/>
    <mergeCell ref="A7:B7"/>
    <mergeCell ref="D7:H7"/>
    <mergeCell ref="B53:H53"/>
    <mergeCell ref="B55:H55"/>
  </mergeCells>
  <conditionalFormatting sqref="B53:H53">
    <cfRule type="expression" priority="2" aboveAverage="0" equalAverage="0" bottom="0" percent="0" rank="0" text="" dxfId="0">
      <formula>LEFT($B$53,5)="ERROR"</formula>
    </cfRule>
  </conditionalFormatting>
  <conditionalFormatting sqref="A9:H48">
    <cfRule type="expression" priority="3" aboveAverage="0" equalAverage="0" bottom="0" percent="0" rank="0" text="" dxfId="1">
      <formula>LEFT($F9,7)="NEITHER"</formula>
    </cfRule>
    <cfRule type="expression" priority="4" aboveAverage="0" equalAverage="0" bottom="0" percent="0" rank="0" text="" dxfId="2">
      <formula>AND($B9&lt;&gt;"",$H9&lt;&gt;"")</formula>
    </cfRule>
  </conditionalFormatting>
  <dataValidations count="1">
    <dataValidation allowBlank="true" errorStyle="stop" operator="between" showDropDown="false" showErrorMessage="false" showInputMessage="false" sqref="B9:B48" type="list">
      <formula1>IngredientList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6"/>
    <col collapsed="false" customWidth="true" hidden="false" outlineLevel="0" max="4" min="4" style="0" width="11"/>
    <col collapsed="false" customWidth="true" hidden="false" outlineLevel="0" max="5" min="5" style="0" width="16"/>
    <col collapsed="false" customWidth="true" hidden="false" outlineLevel="0" max="6" min="6" style="0" width="18"/>
    <col collapsed="false" customWidth="true" hidden="false" outlineLevel="0" max="7" min="7" style="0" width="13"/>
    <col collapsed="false" customWidth="true" hidden="false" outlineLevel="0" max="8" min="8" style="0" width="46"/>
  </cols>
  <sheetData>
    <row r="1" customFormat="false" ht="17.35" hidden="false" customHeight="false" outlineLevel="0" collapsed="false">
      <c r="A1" s="1" t="s">
        <v>152</v>
      </c>
      <c r="B1" s="1"/>
      <c r="C1" s="1"/>
      <c r="D1" s="1"/>
      <c r="E1" s="1"/>
      <c r="F1" s="1"/>
      <c r="G1" s="1"/>
      <c r="H1" s="1"/>
    </row>
    <row r="2" customFormat="false" ht="15" hidden="false" customHeight="false" outlineLevel="0" collapsed="false">
      <c r="A2" s="2" t="s">
        <v>153</v>
      </c>
      <c r="B2" s="2"/>
      <c r="C2" s="2"/>
      <c r="D2" s="2"/>
      <c r="E2" s="2"/>
      <c r="F2" s="2"/>
      <c r="G2" s="2"/>
      <c r="H2" s="2"/>
    </row>
    <row r="3" customFormat="false" ht="15" hidden="false" customHeight="false" outlineLevel="0" collapsed="false">
      <c r="A3" s="16" t="s">
        <v>45</v>
      </c>
      <c r="B3" s="16"/>
      <c r="C3" s="17" t="s">
        <v>154</v>
      </c>
      <c r="D3" s="2" t="s">
        <v>155</v>
      </c>
      <c r="E3" s="2"/>
      <c r="F3" s="2"/>
      <c r="G3" s="2"/>
      <c r="H3" s="2"/>
    </row>
    <row r="4" customFormat="false" ht="15" hidden="false" customHeight="false" outlineLevel="0" collapsed="false">
      <c r="A4" s="16" t="s">
        <v>156</v>
      </c>
      <c r="B4" s="16"/>
      <c r="C4" s="32" t="n">
        <f aca="false">C50</f>
        <v>2004</v>
      </c>
      <c r="D4" s="2" t="s">
        <v>157</v>
      </c>
      <c r="E4" s="2"/>
      <c r="F4" s="2"/>
      <c r="G4" s="2"/>
      <c r="H4" s="2"/>
    </row>
    <row r="5" customFormat="false" ht="15" hidden="false" customHeight="false" outlineLevel="0" collapsed="false">
      <c r="A5" s="16" t="s">
        <v>50</v>
      </c>
      <c r="B5" s="16"/>
      <c r="C5" s="8" t="s">
        <v>158</v>
      </c>
      <c r="D5" s="16" t="s">
        <v>52</v>
      </c>
      <c r="E5" s="16"/>
      <c r="F5" s="33" t="s">
        <v>159</v>
      </c>
      <c r="G5" s="33"/>
      <c r="H5" s="33"/>
    </row>
    <row r="6" customFormat="false" ht="15" hidden="false" customHeight="false" outlineLevel="0" collapsed="false">
      <c r="A6" s="16" t="s">
        <v>54</v>
      </c>
      <c r="B6" s="16"/>
      <c r="C6" s="26"/>
      <c r="D6" s="16" t="s">
        <v>55</v>
      </c>
      <c r="E6" s="16"/>
      <c r="F6" s="33"/>
      <c r="G6" s="33"/>
      <c r="H6" s="33"/>
    </row>
    <row r="7" customFormat="false" ht="15" hidden="false" customHeight="false" outlineLevel="0" collapsed="false">
      <c r="A7" s="16" t="s">
        <v>56</v>
      </c>
      <c r="B7" s="16"/>
      <c r="C7" s="26" t="s">
        <v>159</v>
      </c>
      <c r="D7" s="2" t="s">
        <v>160</v>
      </c>
      <c r="E7" s="2"/>
      <c r="F7" s="2"/>
      <c r="G7" s="2"/>
      <c r="H7" s="2"/>
    </row>
    <row r="8" customFormat="false" ht="15" hidden="false" customHeight="false" outlineLevel="0" collapsed="false">
      <c r="A8" s="20" t="s">
        <v>58</v>
      </c>
      <c r="B8" s="20" t="s">
        <v>59</v>
      </c>
      <c r="C8" s="20" t="s">
        <v>161</v>
      </c>
      <c r="D8" s="20" t="s">
        <v>162</v>
      </c>
      <c r="E8" s="20" t="s">
        <v>163</v>
      </c>
      <c r="F8" s="20" t="s">
        <v>63</v>
      </c>
      <c r="G8" s="20" t="s">
        <v>64</v>
      </c>
      <c r="H8" s="20" t="s">
        <v>65</v>
      </c>
    </row>
    <row r="9" customFormat="false" ht="15" hidden="false" customHeight="false" outlineLevel="0" collapsed="false">
      <c r="A9" s="21" t="n">
        <f aca="false">IF($B9="","",1)</f>
        <v>1</v>
      </c>
      <c r="B9" s="22" t="s">
        <v>164</v>
      </c>
      <c r="C9" s="23" t="n">
        <v>300</v>
      </c>
      <c r="D9" s="24" t="n">
        <f aca="false">IF(OR($B9="",$C$4=0),"",$C9/$C$4)</f>
        <v>0.149700598802395</v>
      </c>
      <c r="E9" s="25" t="n">
        <f aca="false">IF($B9="","",$C9)</f>
        <v>300</v>
      </c>
      <c r="F9" s="26" t="str">
        <f aca="false">IF($B9="","",IF($C9=0,"Listed — not weighed",IF($E9&lt;0,"NEITHER — negative weight",IF($E9&gt;=Settings!$B$19,Settings!$B$6,IF($E9&gt;Settings!$B$14,"NEITHER — over bench capacity",IF($E9&gt;=2*Settings!$B$12,Settings!$B$11,"NEITHER — under bench resolution"))))))</f>
        <v>Main scale</v>
      </c>
      <c r="G9" s="25" t="n">
        <f aca="false">IF($B9="","",IF($F9=Settings!$B$6,MAX(2*Settings!$B$7,Settings!$B$4*$E9),IF($F9=Settings!$B$11,MAX(2*Settings!$B$12,Settings!$B$4*$E9),"")))</f>
        <v>6</v>
      </c>
      <c r="H9" s="27" t="str">
        <f aca="false">IF($B9="","",IF(LEFT($F9,6)="Listed","Quantity 0: shown on the station as a reminder, not weighed. Give it a weight to weigh it.",IF(LEFT($F9,7)="NEITHER","Cannot be weighed — split it, premix it, or raise the batch size",IF($G9&gt;Settings!$B$4*$E9+0.0001,"Held to the scale's resolution, not "&amp;TEXT(Settings!$B$4,"0%"),""))))</f>
        <v/>
      </c>
    </row>
    <row r="10" customFormat="false" ht="15" hidden="false" customHeight="false" outlineLevel="0" collapsed="false">
      <c r="A10" s="21" t="n">
        <f aca="false">IF($B10="","",2)</f>
        <v>2</v>
      </c>
      <c r="B10" s="22" t="s">
        <v>165</v>
      </c>
      <c r="C10" s="23" t="n">
        <v>466</v>
      </c>
      <c r="D10" s="24" t="n">
        <f aca="false">IF(OR($B10="",$C$4=0),"",$C10/$C$4)</f>
        <v>0.232534930139721</v>
      </c>
      <c r="E10" s="25" t="n">
        <f aca="false">IF($B10="","",$C10)</f>
        <v>466</v>
      </c>
      <c r="F10" s="26" t="str">
        <f aca="false">IF($B10="","",IF($C10=0,"Listed — not weighed",IF($E10&lt;0,"NEITHER — negative weight",IF($E10&gt;=Settings!$B$19,Settings!$B$6,IF($E10&gt;Settings!$B$14,"NEITHER — over bench capacity",IF($E10&gt;=2*Settings!$B$12,Settings!$B$11,"NEITHER — under bench resolution"))))))</f>
        <v>Main scale</v>
      </c>
      <c r="G10" s="25" t="n">
        <f aca="false">IF($B10="","",IF($F10=Settings!$B$6,MAX(2*Settings!$B$7,Settings!$B$4*$E10),IF($F10=Settings!$B$11,MAX(2*Settings!$B$12,Settings!$B$4*$E10),"")))</f>
        <v>9.32</v>
      </c>
      <c r="H10" s="27" t="str">
        <f aca="false">IF($B10="","",IF(LEFT($F10,6)="Listed","Quantity 0: shown on the station as a reminder, not weighed. Give it a weight to weigh it.",IF(LEFT($F10,7)="NEITHER","Cannot be weighed — split it, premix it, or raise the batch size",IF($G10&gt;Settings!$B$4*$E10+0.0001,"Held to the scale's resolution, not "&amp;TEXT(Settings!$B$4,"0%"),""))))</f>
        <v/>
      </c>
    </row>
    <row r="11" customFormat="false" ht="15" hidden="false" customHeight="false" outlineLevel="0" collapsed="false">
      <c r="A11" s="21" t="n">
        <f aca="false">IF($B11="","",3)</f>
        <v>3</v>
      </c>
      <c r="B11" s="22" t="s">
        <v>166</v>
      </c>
      <c r="C11" s="23" t="n">
        <v>350</v>
      </c>
      <c r="D11" s="24" t="n">
        <f aca="false">IF(OR($B11="",$C$4=0),"",$C11/$C$4)</f>
        <v>0.174650698602794</v>
      </c>
      <c r="E11" s="25" t="n">
        <f aca="false">IF($B11="","",$C11)</f>
        <v>350</v>
      </c>
      <c r="F11" s="26" t="str">
        <f aca="false">IF($B11="","",IF($C11=0,"Listed — not weighed",IF($E11&lt;0,"NEITHER — negative weight",IF($E11&gt;=Settings!$B$19,Settings!$B$6,IF($E11&gt;Settings!$B$14,"NEITHER — over bench capacity",IF($E11&gt;=2*Settings!$B$12,Settings!$B$11,"NEITHER — under bench resolution"))))))</f>
        <v>Main scale</v>
      </c>
      <c r="G11" s="25" t="n">
        <f aca="false">IF($B11="","",IF($F11=Settings!$B$6,MAX(2*Settings!$B$7,Settings!$B$4*$E11),IF($F11=Settings!$B$11,MAX(2*Settings!$B$12,Settings!$B$4*$E11),"")))</f>
        <v>7</v>
      </c>
      <c r="H11" s="27" t="str">
        <f aca="false">IF($B11="","",IF(LEFT($F11,6)="Listed","Quantity 0: shown on the station as a reminder, not weighed. Give it a weight to weigh it.",IF(LEFT($F11,7)="NEITHER","Cannot be weighed — split it, premix it, or raise the batch size",IF($G11&gt;Settings!$B$4*$E11+0.0001,"Held to the scale's resolution, not "&amp;TEXT(Settings!$B$4,"0%"),""))))</f>
        <v/>
      </c>
    </row>
    <row r="12" customFormat="false" ht="15" hidden="false" customHeight="false" outlineLevel="0" collapsed="false">
      <c r="A12" s="21" t="n">
        <f aca="false">IF($B12="","",4)</f>
        <v>4</v>
      </c>
      <c r="B12" s="22" t="s">
        <v>83</v>
      </c>
      <c r="C12" s="23" t="n">
        <v>164</v>
      </c>
      <c r="D12" s="24" t="n">
        <f aca="false">IF(OR($B12="",$C$4=0),"",$C12/$C$4)</f>
        <v>0.0818363273453094</v>
      </c>
      <c r="E12" s="25" t="n">
        <f aca="false">IF($B12="","",$C12)</f>
        <v>164</v>
      </c>
      <c r="F12" s="26" t="str">
        <f aca="false">IF($B12="","",IF($C12=0,"Listed — not weighed",IF($E12&lt;0,"NEITHER — negative weight",IF($E12&gt;=Settings!$B$19,Settings!$B$6,IF($E12&gt;Settings!$B$14,"NEITHER — over bench capacity",IF($E12&gt;=2*Settings!$B$12,Settings!$B$11,"NEITHER — under bench resolution"))))))</f>
        <v>Main scale</v>
      </c>
      <c r="G12" s="25" t="n">
        <f aca="false">IF($B12="","",IF($F12=Settings!$B$6,MAX(2*Settings!$B$7,Settings!$B$4*$E12),IF($F12=Settings!$B$11,MAX(2*Settings!$B$12,Settings!$B$4*$E12),"")))</f>
        <v>3.28</v>
      </c>
      <c r="H12" s="27" t="str">
        <f aca="false">IF($B12="","",IF(LEFT($F12,6)="Listed","Quantity 0: shown on the station as a reminder, not weighed. Give it a weight to weigh it.",IF(LEFT($F12,7)="NEITHER","Cannot be weighed — split it, premix it, or raise the batch size",IF($G12&gt;Settings!$B$4*$E12+0.0001,"Held to the scale's resolution, not "&amp;TEXT(Settings!$B$4,"0%"),""))))</f>
        <v/>
      </c>
    </row>
    <row r="13" customFormat="false" ht="15" hidden="false" customHeight="false" outlineLevel="0" collapsed="false">
      <c r="A13" s="21" t="n">
        <f aca="false">IF($B13="","",5)</f>
        <v>5</v>
      </c>
      <c r="B13" s="22" t="s">
        <v>90</v>
      </c>
      <c r="C13" s="23" t="n">
        <v>164</v>
      </c>
      <c r="D13" s="24" t="n">
        <f aca="false">IF(OR($B13="",$C$4=0),"",$C13/$C$4)</f>
        <v>0.0818363273453094</v>
      </c>
      <c r="E13" s="25" t="n">
        <f aca="false">IF($B13="","",$C13)</f>
        <v>164</v>
      </c>
      <c r="F13" s="26" t="str">
        <f aca="false">IF($B13="","",IF($C13=0,"Listed — not weighed",IF($E13&lt;0,"NEITHER — negative weight",IF($E13&gt;=Settings!$B$19,Settings!$B$6,IF($E13&gt;Settings!$B$14,"NEITHER — over bench capacity",IF($E13&gt;=2*Settings!$B$12,Settings!$B$11,"NEITHER — under bench resolution"))))))</f>
        <v>Main scale</v>
      </c>
      <c r="G13" s="25" t="n">
        <f aca="false">IF($B13="","",IF($F13=Settings!$B$6,MAX(2*Settings!$B$7,Settings!$B$4*$E13),IF($F13=Settings!$B$11,MAX(2*Settings!$B$12,Settings!$B$4*$E13),"")))</f>
        <v>3.28</v>
      </c>
      <c r="H13" s="27" t="str">
        <f aca="false">IF($B13="","",IF(LEFT($F13,6)="Listed","Quantity 0: shown on the station as a reminder, not weighed. Give it a weight to weigh it.",IF(LEFT($F13,7)="NEITHER","Cannot be weighed — split it, premix it, or raise the batch size",IF($G13&gt;Settings!$B$4*$E13+0.0001,"Held to the scale's resolution, not "&amp;TEXT(Settings!$B$4,"0%"),""))))</f>
        <v/>
      </c>
    </row>
    <row r="14" customFormat="false" ht="15" hidden="false" customHeight="false" outlineLevel="0" collapsed="false">
      <c r="A14" s="21" t="n">
        <f aca="false">IF($B14="","",6)</f>
        <v>6</v>
      </c>
      <c r="B14" s="22" t="s">
        <v>167</v>
      </c>
      <c r="C14" s="23" t="n">
        <v>116</v>
      </c>
      <c r="D14" s="24" t="n">
        <f aca="false">IF(OR($B14="",$C$4=0),"",$C14/$C$4)</f>
        <v>0.0578842315369262</v>
      </c>
      <c r="E14" s="25" t="n">
        <f aca="false">IF($B14="","",$C14)</f>
        <v>116</v>
      </c>
      <c r="F14" s="26" t="str">
        <f aca="false">IF($B14="","",IF($C14=0,"Listed — not weighed",IF($E14&lt;0,"NEITHER — negative weight",IF($E14&gt;=Settings!$B$19,Settings!$B$6,IF($E14&gt;Settings!$B$14,"NEITHER — over bench capacity",IF($E14&gt;=2*Settings!$B$12,Settings!$B$11,"NEITHER — under bench resolution"))))))</f>
        <v>Main scale</v>
      </c>
      <c r="G14" s="25" t="n">
        <f aca="false">IF($B14="","",IF($F14=Settings!$B$6,MAX(2*Settings!$B$7,Settings!$B$4*$E14),IF($F14=Settings!$B$11,MAX(2*Settings!$B$12,Settings!$B$4*$E14),"")))</f>
        <v>2.32</v>
      </c>
      <c r="H14" s="27" t="str">
        <f aca="false">IF($B14="","",IF(LEFT($F14,6)="Listed","Quantity 0: shown on the station as a reminder, not weighed. Give it a weight to weigh it.",IF(LEFT($F14,7)="NEITHER","Cannot be weighed — split it, premix it, or raise the batch size",IF($G14&gt;Settings!$B$4*$E14+0.0001,"Held to the scale's resolution, not "&amp;TEXT(Settings!$B$4,"0%"),""))))</f>
        <v/>
      </c>
    </row>
    <row r="15" customFormat="false" ht="15" hidden="false" customHeight="false" outlineLevel="0" collapsed="false">
      <c r="A15" s="21" t="n">
        <f aca="false">IF($B15="","",7)</f>
        <v>7</v>
      </c>
      <c r="B15" s="22" t="s">
        <v>168</v>
      </c>
      <c r="C15" s="23" t="n">
        <v>116</v>
      </c>
      <c r="D15" s="24" t="n">
        <f aca="false">IF(OR($B15="",$C$4=0),"",$C15/$C$4)</f>
        <v>0.0578842315369262</v>
      </c>
      <c r="E15" s="25" t="n">
        <f aca="false">IF($B15="","",$C15)</f>
        <v>116</v>
      </c>
      <c r="F15" s="26" t="str">
        <f aca="false">IF($B15="","",IF($C15=0,"Listed — not weighed",IF($E15&lt;0,"NEITHER — negative weight",IF($E15&gt;=Settings!$B$19,Settings!$B$6,IF($E15&gt;Settings!$B$14,"NEITHER — over bench capacity",IF($E15&gt;=2*Settings!$B$12,Settings!$B$11,"NEITHER — under bench resolution"))))))</f>
        <v>Main scale</v>
      </c>
      <c r="G15" s="25" t="n">
        <f aca="false">IF($B15="","",IF($F15=Settings!$B$6,MAX(2*Settings!$B$7,Settings!$B$4*$E15),IF($F15=Settings!$B$11,MAX(2*Settings!$B$12,Settings!$B$4*$E15),"")))</f>
        <v>2.32</v>
      </c>
      <c r="H15" s="27" t="str">
        <f aca="false">IF($B15="","",IF(LEFT($F15,6)="Listed","Quantity 0: shown on the station as a reminder, not weighed. Give it a weight to weigh it.",IF(LEFT($F15,7)="NEITHER","Cannot be weighed — split it, premix it, or raise the batch size",IF($G15&gt;Settings!$B$4*$E15+0.0001,"Held to the scale's resolution, not "&amp;TEXT(Settings!$B$4,"0%"),""))))</f>
        <v/>
      </c>
    </row>
    <row r="16" customFormat="false" ht="15" hidden="false" customHeight="false" outlineLevel="0" collapsed="false">
      <c r="A16" s="21" t="n">
        <f aca="false">IF($B16="","",8)</f>
        <v>8</v>
      </c>
      <c r="B16" s="22" t="s">
        <v>99</v>
      </c>
      <c r="C16" s="23" t="n">
        <v>116</v>
      </c>
      <c r="D16" s="24" t="n">
        <f aca="false">IF(OR($B16="",$C$4=0),"",$C16/$C$4)</f>
        <v>0.0578842315369262</v>
      </c>
      <c r="E16" s="25" t="n">
        <f aca="false">IF($B16="","",$C16)</f>
        <v>116</v>
      </c>
      <c r="F16" s="26" t="str">
        <f aca="false">IF($B16="","",IF($C16=0,"Listed — not weighed",IF($E16&lt;0,"NEITHER — negative weight",IF($E16&gt;=Settings!$B$19,Settings!$B$6,IF($E16&gt;Settings!$B$14,"NEITHER — over bench capacity",IF($E16&gt;=2*Settings!$B$12,Settings!$B$11,"NEITHER — under bench resolution"))))))</f>
        <v>Main scale</v>
      </c>
      <c r="G16" s="25" t="n">
        <f aca="false">IF($B16="","",IF($F16=Settings!$B$6,MAX(2*Settings!$B$7,Settings!$B$4*$E16),IF($F16=Settings!$B$11,MAX(2*Settings!$B$12,Settings!$B$4*$E16),"")))</f>
        <v>2.32</v>
      </c>
      <c r="H16" s="27" t="str">
        <f aca="false">IF($B16="","",IF(LEFT($F16,6)="Listed","Quantity 0: shown on the station as a reminder, not weighed. Give it a weight to weigh it.",IF(LEFT($F16,7)="NEITHER","Cannot be weighed — split it, premix it, or raise the batch size",IF($G16&gt;Settings!$B$4*$E16+0.0001,"Held to the scale's resolution, not "&amp;TEXT(Settings!$B$4,"0%"),""))))</f>
        <v/>
      </c>
    </row>
    <row r="17" customFormat="false" ht="15" hidden="false" customHeight="false" outlineLevel="0" collapsed="false">
      <c r="A17" s="21" t="n">
        <f aca="false">IF($B17="","",9)</f>
        <v>9</v>
      </c>
      <c r="B17" s="22" t="s">
        <v>169</v>
      </c>
      <c r="C17" s="23" t="n">
        <v>60</v>
      </c>
      <c r="D17" s="24" t="n">
        <f aca="false">IF(OR($B17="",$C$4=0),"",$C17/$C$4)</f>
        <v>0.029940119760479</v>
      </c>
      <c r="E17" s="25" t="n">
        <f aca="false">IF($B17="","",$C17)</f>
        <v>60</v>
      </c>
      <c r="F17" s="26" t="str">
        <f aca="false">IF($B17="","",IF($C17=0,"Listed — not weighed",IF($E17&lt;0,"NEITHER — negative weight",IF($E17&gt;=Settings!$B$19,Settings!$B$6,IF($E17&gt;Settings!$B$14,"NEITHER — over bench capacity",IF($E17&gt;=2*Settings!$B$12,Settings!$B$11,"NEITHER — under bench resolution"))))))</f>
        <v>Main scale</v>
      </c>
      <c r="G17" s="25" t="n">
        <f aca="false">IF($B17="","",IF($F17=Settings!$B$6,MAX(2*Settings!$B$7,Settings!$B$4*$E17),IF($F17=Settings!$B$11,MAX(2*Settings!$B$12,Settings!$B$4*$E17),"")))</f>
        <v>2</v>
      </c>
      <c r="H17" s="27" t="str">
        <f aca="false">IF($B17="","",IF(LEFT($F17,6)="Listed","Quantity 0: shown on the station as a reminder, not weighed. Give it a weight to weigh it.",IF(LEFT($F17,7)="NEITHER","Cannot be weighed — split it, premix it, or raise the batch size",IF($G17&gt;Settings!$B$4*$E17+0.0001,"Held to the scale's resolution, not "&amp;TEXT(Settings!$B$4,"0%"),""))))</f>
        <v>Held to the scale's resolution, not 2%</v>
      </c>
    </row>
    <row r="18" customFormat="false" ht="15" hidden="false" customHeight="false" outlineLevel="0" collapsed="false">
      <c r="A18" s="21" t="n">
        <f aca="false">IF($B18="","",10)</f>
        <v>10</v>
      </c>
      <c r="B18" s="22" t="s">
        <v>98</v>
      </c>
      <c r="C18" s="23" t="n">
        <v>152</v>
      </c>
      <c r="D18" s="24" t="n">
        <f aca="false">IF(OR($B18="",$C$4=0),"",$C18/$C$4)</f>
        <v>0.0758483033932136</v>
      </c>
      <c r="E18" s="25" t="n">
        <f aca="false">IF($B18="","",$C18)</f>
        <v>152</v>
      </c>
      <c r="F18" s="26" t="str">
        <f aca="false">IF($B18="","",IF($C18=0,"Listed — not weighed",IF($E18&lt;0,"NEITHER — negative weight",IF($E18&gt;=Settings!$B$19,Settings!$B$6,IF($E18&gt;Settings!$B$14,"NEITHER — over bench capacity",IF($E18&gt;=2*Settings!$B$12,Settings!$B$11,"NEITHER — under bench resolution"))))))</f>
        <v>Main scale</v>
      </c>
      <c r="G18" s="25" t="n">
        <f aca="false">IF($B18="","",IF($F18=Settings!$B$6,MAX(2*Settings!$B$7,Settings!$B$4*$E18),IF($F18=Settings!$B$11,MAX(2*Settings!$B$12,Settings!$B$4*$E18),"")))</f>
        <v>3.04</v>
      </c>
      <c r="H18" s="27" t="str">
        <f aca="false">IF($B18="","",IF(LEFT($F18,6)="Listed","Quantity 0: shown on the station as a reminder, not weighed. Give it a weight to weigh it.",IF(LEFT($F18,7)="NEITHER","Cannot be weighed — split it, premix it, or raise the batch size",IF($G18&gt;Settings!$B$4*$E18+0.0001,"Held to the scale's resolution, not "&amp;TEXT(Settings!$B$4,"0%"),""))))</f>
        <v/>
      </c>
    </row>
    <row r="19" customFormat="false" ht="15" hidden="false" customHeight="false" outlineLevel="0" collapsed="false">
      <c r="A19" s="21" t="str">
        <f aca="false">IF($B19="","",11)</f>
        <v/>
      </c>
      <c r="B19" s="22"/>
      <c r="C19" s="23"/>
      <c r="D19" s="24" t="str">
        <f aca="false">IF(OR($B19="",$C$4=0),"",$C19/$C$4)</f>
        <v/>
      </c>
      <c r="E19" s="25" t="str">
        <f aca="false">IF($B19="","",$C19)</f>
        <v/>
      </c>
      <c r="F19" s="26" t="str">
        <f aca="false">IF($B19="","",IF($C19=0,"Listed — not weighed",IF($E19&lt;0,"NEITHER — negative weight",IF($E19&gt;=Settings!$B$19,Settings!$B$6,IF($E19&gt;Settings!$B$14,"NEITHER — over bench capacity",IF($E19&gt;=2*Settings!$B$12,Settings!$B$11,"NEITHER — under bench resolution"))))))</f>
        <v/>
      </c>
      <c r="G19" s="25" t="str">
        <f aca="false">IF($B19="","",IF($F19=Settings!$B$6,MAX(2*Settings!$B$7,Settings!$B$4*$E19),IF($F19=Settings!$B$11,MAX(2*Settings!$B$12,Settings!$B$4*$E19),"")))</f>
        <v/>
      </c>
      <c r="H19" s="27" t="str">
        <f aca="false">IF($B19="","",IF(LEFT($F19,6)="Listed","Quantity 0: shown on the station as a reminder, not weighed. Give it a weight to weigh it.",IF(LEFT($F19,7)="NEITHER","Cannot be weighed — split it, premix it, or raise the batch size",IF($G19&gt;Settings!$B$4*$E19+0.0001,"Held to the scale's resolution, not "&amp;TEXT(Settings!$B$4,"0%"),""))))</f>
        <v/>
      </c>
    </row>
    <row r="20" customFormat="false" ht="15" hidden="false" customHeight="false" outlineLevel="0" collapsed="false">
      <c r="A20" s="21" t="str">
        <f aca="false">IF($B20="","",12)</f>
        <v/>
      </c>
      <c r="B20" s="22"/>
      <c r="C20" s="23"/>
      <c r="D20" s="24" t="str">
        <f aca="false">IF(OR($B20="",$C$4=0),"",$C20/$C$4)</f>
        <v/>
      </c>
      <c r="E20" s="25" t="str">
        <f aca="false">IF($B20="","",$C20)</f>
        <v/>
      </c>
      <c r="F20" s="26" t="str">
        <f aca="false">IF($B20="","",IF($C20=0,"Listed — not weighed",IF($E20&lt;0,"NEITHER — negative weight",IF($E20&gt;=Settings!$B$19,Settings!$B$6,IF($E20&gt;Settings!$B$14,"NEITHER — over bench capacity",IF($E20&gt;=2*Settings!$B$12,Settings!$B$11,"NEITHER — under bench resolution"))))))</f>
        <v/>
      </c>
      <c r="G20" s="25" t="str">
        <f aca="false">IF($B20="","",IF($F20=Settings!$B$6,MAX(2*Settings!$B$7,Settings!$B$4*$E20),IF($F20=Settings!$B$11,MAX(2*Settings!$B$12,Settings!$B$4*$E20),"")))</f>
        <v/>
      </c>
      <c r="H20" s="27" t="str">
        <f aca="false">IF($B20="","",IF(LEFT($F20,6)="Listed","Quantity 0: shown on the station as a reminder, not weighed. Give it a weight to weigh it.",IF(LEFT($F20,7)="NEITHER","Cannot be weighed — split it, premix it, or raise the batch size",IF($G20&gt;Settings!$B$4*$E20+0.0001,"Held to the scale's resolution, not "&amp;TEXT(Settings!$B$4,"0%"),""))))</f>
        <v/>
      </c>
    </row>
    <row r="21" customFormat="false" ht="15" hidden="false" customHeight="false" outlineLevel="0" collapsed="false">
      <c r="A21" s="21" t="str">
        <f aca="false">IF($B21="","",13)</f>
        <v/>
      </c>
      <c r="B21" s="22"/>
      <c r="C21" s="23"/>
      <c r="D21" s="24" t="str">
        <f aca="false">IF(OR($B21="",$C$4=0),"",$C21/$C$4)</f>
        <v/>
      </c>
      <c r="E21" s="25" t="str">
        <f aca="false">IF($B21="","",$C21)</f>
        <v/>
      </c>
      <c r="F21" s="26" t="str">
        <f aca="false">IF($B21="","",IF($C21=0,"Listed — not weighed",IF($E21&lt;0,"NEITHER — negative weight",IF($E21&gt;=Settings!$B$19,Settings!$B$6,IF($E21&gt;Settings!$B$14,"NEITHER — over bench capacity",IF($E21&gt;=2*Settings!$B$12,Settings!$B$11,"NEITHER — under bench resolution"))))))</f>
        <v/>
      </c>
      <c r="G21" s="25" t="str">
        <f aca="false">IF($B21="","",IF($F21=Settings!$B$6,MAX(2*Settings!$B$7,Settings!$B$4*$E21),IF($F21=Settings!$B$11,MAX(2*Settings!$B$12,Settings!$B$4*$E21),"")))</f>
        <v/>
      </c>
      <c r="H21" s="27" t="str">
        <f aca="false">IF($B21="","",IF(LEFT($F21,6)="Listed","Quantity 0: shown on the station as a reminder, not weighed. Give it a weight to weigh it.",IF(LEFT($F21,7)="NEITHER","Cannot be weighed — split it, premix it, or raise the batch size",IF($G21&gt;Settings!$B$4*$E21+0.0001,"Held to the scale's resolution, not "&amp;TEXT(Settings!$B$4,"0%"),""))))</f>
        <v/>
      </c>
    </row>
    <row r="22" customFormat="false" ht="15" hidden="false" customHeight="false" outlineLevel="0" collapsed="false">
      <c r="A22" s="21" t="str">
        <f aca="false">IF($B22="","",14)</f>
        <v/>
      </c>
      <c r="B22" s="22"/>
      <c r="C22" s="23"/>
      <c r="D22" s="24" t="str">
        <f aca="false">IF(OR($B22="",$C$4=0),"",$C22/$C$4)</f>
        <v/>
      </c>
      <c r="E22" s="25" t="str">
        <f aca="false">IF($B22="","",$C22)</f>
        <v/>
      </c>
      <c r="F22" s="26" t="str">
        <f aca="false">IF($B22="","",IF($C22=0,"Listed — not weighed",IF($E22&lt;0,"NEITHER — negative weight",IF($E22&gt;=Settings!$B$19,Settings!$B$6,IF($E22&gt;Settings!$B$14,"NEITHER — over bench capacity",IF($E22&gt;=2*Settings!$B$12,Settings!$B$11,"NEITHER — under bench resolution"))))))</f>
        <v/>
      </c>
      <c r="G22" s="25" t="str">
        <f aca="false">IF($B22="","",IF($F22=Settings!$B$6,MAX(2*Settings!$B$7,Settings!$B$4*$E22),IF($F22=Settings!$B$11,MAX(2*Settings!$B$12,Settings!$B$4*$E22),"")))</f>
        <v/>
      </c>
      <c r="H22" s="27" t="str">
        <f aca="false">IF($B22="","",IF(LEFT($F22,6)="Listed","Quantity 0: shown on the station as a reminder, not weighed. Give it a weight to weigh it.",IF(LEFT($F22,7)="NEITHER","Cannot be weighed — split it, premix it, or raise the batch size",IF($G22&gt;Settings!$B$4*$E22+0.0001,"Held to the scale's resolution, not "&amp;TEXT(Settings!$B$4,"0%"),""))))</f>
        <v/>
      </c>
    </row>
    <row r="23" customFormat="false" ht="15" hidden="false" customHeight="false" outlineLevel="0" collapsed="false">
      <c r="A23" s="21" t="str">
        <f aca="false">IF($B23="","",15)</f>
        <v/>
      </c>
      <c r="B23" s="22"/>
      <c r="C23" s="23"/>
      <c r="D23" s="24" t="str">
        <f aca="false">IF(OR($B23="",$C$4=0),"",$C23/$C$4)</f>
        <v/>
      </c>
      <c r="E23" s="25" t="str">
        <f aca="false">IF($B23="","",$C23)</f>
        <v/>
      </c>
      <c r="F23" s="26" t="str">
        <f aca="false">IF($B23="","",IF($C23=0,"Listed — not weighed",IF($E23&lt;0,"NEITHER — negative weight",IF($E23&gt;=Settings!$B$19,Settings!$B$6,IF($E23&gt;Settings!$B$14,"NEITHER — over bench capacity",IF($E23&gt;=2*Settings!$B$12,Settings!$B$11,"NEITHER — under bench resolution"))))))</f>
        <v/>
      </c>
      <c r="G23" s="25" t="str">
        <f aca="false">IF($B23="","",IF($F23=Settings!$B$6,MAX(2*Settings!$B$7,Settings!$B$4*$E23),IF($F23=Settings!$B$11,MAX(2*Settings!$B$12,Settings!$B$4*$E23),"")))</f>
        <v/>
      </c>
      <c r="H23" s="27" t="str">
        <f aca="false">IF($B23="","",IF(LEFT($F23,6)="Listed","Quantity 0: shown on the station as a reminder, not weighed. Give it a weight to weigh it.",IF(LEFT($F23,7)="NEITHER","Cannot be weighed — split it, premix it, or raise the batch size",IF($G23&gt;Settings!$B$4*$E23+0.0001,"Held to the scale's resolution, not "&amp;TEXT(Settings!$B$4,"0%"),""))))</f>
        <v/>
      </c>
    </row>
    <row r="24" customFormat="false" ht="15" hidden="false" customHeight="false" outlineLevel="0" collapsed="false">
      <c r="A24" s="21" t="str">
        <f aca="false">IF($B24="","",16)</f>
        <v/>
      </c>
      <c r="B24" s="22"/>
      <c r="C24" s="23"/>
      <c r="D24" s="24" t="str">
        <f aca="false">IF(OR($B24="",$C$4=0),"",$C24/$C$4)</f>
        <v/>
      </c>
      <c r="E24" s="25" t="str">
        <f aca="false">IF($B24="","",$C24)</f>
        <v/>
      </c>
      <c r="F24" s="26" t="str">
        <f aca="false">IF($B24="","",IF($C24=0,"Listed — not weighed",IF($E24&lt;0,"NEITHER — negative weight",IF($E24&gt;=Settings!$B$19,Settings!$B$6,IF($E24&gt;Settings!$B$14,"NEITHER — over bench capacity",IF($E24&gt;=2*Settings!$B$12,Settings!$B$11,"NEITHER — under bench resolution"))))))</f>
        <v/>
      </c>
      <c r="G24" s="25" t="str">
        <f aca="false">IF($B24="","",IF($F24=Settings!$B$6,MAX(2*Settings!$B$7,Settings!$B$4*$E24),IF($F24=Settings!$B$11,MAX(2*Settings!$B$12,Settings!$B$4*$E24),"")))</f>
        <v/>
      </c>
      <c r="H24" s="27" t="str">
        <f aca="false">IF($B24="","",IF(LEFT($F24,6)="Listed","Quantity 0: shown on the station as a reminder, not weighed. Give it a weight to weigh it.",IF(LEFT($F24,7)="NEITHER","Cannot be weighed — split it, premix it, or raise the batch size",IF($G24&gt;Settings!$B$4*$E24+0.0001,"Held to the scale's resolution, not "&amp;TEXT(Settings!$B$4,"0%"),""))))</f>
        <v/>
      </c>
    </row>
    <row r="25" customFormat="false" ht="15" hidden="false" customHeight="false" outlineLevel="0" collapsed="false">
      <c r="A25" s="21" t="str">
        <f aca="false">IF($B25="","",17)</f>
        <v/>
      </c>
      <c r="B25" s="22"/>
      <c r="C25" s="23"/>
      <c r="D25" s="24" t="str">
        <f aca="false">IF(OR($B25="",$C$4=0),"",$C25/$C$4)</f>
        <v/>
      </c>
      <c r="E25" s="25" t="str">
        <f aca="false">IF($B25="","",$C25)</f>
        <v/>
      </c>
      <c r="F25" s="26" t="str">
        <f aca="false">IF($B25="","",IF($C25=0,"Listed — not weighed",IF($E25&lt;0,"NEITHER — negative weight",IF($E25&gt;=Settings!$B$19,Settings!$B$6,IF($E25&gt;Settings!$B$14,"NEITHER — over bench capacity",IF($E25&gt;=2*Settings!$B$12,Settings!$B$11,"NEITHER — under bench resolution"))))))</f>
        <v/>
      </c>
      <c r="G25" s="25" t="str">
        <f aca="false">IF($B25="","",IF($F25=Settings!$B$6,MAX(2*Settings!$B$7,Settings!$B$4*$E25),IF($F25=Settings!$B$11,MAX(2*Settings!$B$12,Settings!$B$4*$E25),"")))</f>
        <v/>
      </c>
      <c r="H25" s="27" t="str">
        <f aca="false">IF($B25="","",IF(LEFT($F25,6)="Listed","Quantity 0: shown on the station as a reminder, not weighed. Give it a weight to weigh it.",IF(LEFT($F25,7)="NEITHER","Cannot be weighed — split it, premix it, or raise the batch size",IF($G25&gt;Settings!$B$4*$E25+0.0001,"Held to the scale's resolution, not "&amp;TEXT(Settings!$B$4,"0%"),""))))</f>
        <v/>
      </c>
    </row>
    <row r="26" customFormat="false" ht="15" hidden="false" customHeight="false" outlineLevel="0" collapsed="false">
      <c r="A26" s="21" t="str">
        <f aca="false">IF($B26="","",18)</f>
        <v/>
      </c>
      <c r="B26" s="22"/>
      <c r="C26" s="23"/>
      <c r="D26" s="24" t="str">
        <f aca="false">IF(OR($B26="",$C$4=0),"",$C26/$C$4)</f>
        <v/>
      </c>
      <c r="E26" s="25" t="str">
        <f aca="false">IF($B26="","",$C26)</f>
        <v/>
      </c>
      <c r="F26" s="26" t="str">
        <f aca="false">IF($B26="","",IF($C26=0,"Listed — not weighed",IF($E26&lt;0,"NEITHER — negative weight",IF($E26&gt;=Settings!$B$19,Settings!$B$6,IF($E26&gt;Settings!$B$14,"NEITHER — over bench capacity",IF($E26&gt;=2*Settings!$B$12,Settings!$B$11,"NEITHER — under bench resolution"))))))</f>
        <v/>
      </c>
      <c r="G26" s="25" t="str">
        <f aca="false">IF($B26="","",IF($F26=Settings!$B$6,MAX(2*Settings!$B$7,Settings!$B$4*$E26),IF($F26=Settings!$B$11,MAX(2*Settings!$B$12,Settings!$B$4*$E26),"")))</f>
        <v/>
      </c>
      <c r="H26" s="27" t="str">
        <f aca="false">IF($B26="","",IF(LEFT($F26,6)="Listed","Quantity 0: shown on the station as a reminder, not weighed. Give it a weight to weigh it.",IF(LEFT($F26,7)="NEITHER","Cannot be weighed — split it, premix it, or raise the batch size",IF($G26&gt;Settings!$B$4*$E26+0.0001,"Held to the scale's resolution, not "&amp;TEXT(Settings!$B$4,"0%"),""))))</f>
        <v/>
      </c>
    </row>
    <row r="27" customFormat="false" ht="15" hidden="false" customHeight="false" outlineLevel="0" collapsed="false">
      <c r="A27" s="21" t="str">
        <f aca="false">IF($B27="","",19)</f>
        <v/>
      </c>
      <c r="B27" s="22"/>
      <c r="C27" s="23"/>
      <c r="D27" s="24" t="str">
        <f aca="false">IF(OR($B27="",$C$4=0),"",$C27/$C$4)</f>
        <v/>
      </c>
      <c r="E27" s="25" t="str">
        <f aca="false">IF($B27="","",$C27)</f>
        <v/>
      </c>
      <c r="F27" s="26" t="str">
        <f aca="false">IF($B27="","",IF($C27=0,"Listed — not weighed",IF($E27&lt;0,"NEITHER — negative weight",IF($E27&gt;=Settings!$B$19,Settings!$B$6,IF($E27&gt;Settings!$B$14,"NEITHER — over bench capacity",IF($E27&gt;=2*Settings!$B$12,Settings!$B$11,"NEITHER — under bench resolution"))))))</f>
        <v/>
      </c>
      <c r="G27" s="25" t="str">
        <f aca="false">IF($B27="","",IF($F27=Settings!$B$6,MAX(2*Settings!$B$7,Settings!$B$4*$E27),IF($F27=Settings!$B$11,MAX(2*Settings!$B$12,Settings!$B$4*$E27),"")))</f>
        <v/>
      </c>
      <c r="H27" s="27" t="str">
        <f aca="false">IF($B27="","",IF(LEFT($F27,6)="Listed","Quantity 0: shown on the station as a reminder, not weighed. Give it a weight to weigh it.",IF(LEFT($F27,7)="NEITHER","Cannot be weighed — split it, premix it, or raise the batch size",IF($G27&gt;Settings!$B$4*$E27+0.0001,"Held to the scale's resolution, not "&amp;TEXT(Settings!$B$4,"0%"),""))))</f>
        <v/>
      </c>
    </row>
    <row r="28" customFormat="false" ht="15" hidden="false" customHeight="false" outlineLevel="0" collapsed="false">
      <c r="A28" s="21" t="str">
        <f aca="false">IF($B28="","",20)</f>
        <v/>
      </c>
      <c r="B28" s="22"/>
      <c r="C28" s="23"/>
      <c r="D28" s="24" t="str">
        <f aca="false">IF(OR($B28="",$C$4=0),"",$C28/$C$4)</f>
        <v/>
      </c>
      <c r="E28" s="25" t="str">
        <f aca="false">IF($B28="","",$C28)</f>
        <v/>
      </c>
      <c r="F28" s="26" t="str">
        <f aca="false">IF($B28="","",IF($C28=0,"Listed — not weighed",IF($E28&lt;0,"NEITHER — negative weight",IF($E28&gt;=Settings!$B$19,Settings!$B$6,IF($E28&gt;Settings!$B$14,"NEITHER — over bench capacity",IF($E28&gt;=2*Settings!$B$12,Settings!$B$11,"NEITHER — under bench resolution"))))))</f>
        <v/>
      </c>
      <c r="G28" s="25" t="str">
        <f aca="false">IF($B28="","",IF($F28=Settings!$B$6,MAX(2*Settings!$B$7,Settings!$B$4*$E28),IF($F28=Settings!$B$11,MAX(2*Settings!$B$12,Settings!$B$4*$E28),"")))</f>
        <v/>
      </c>
      <c r="H28" s="27" t="str">
        <f aca="false">IF($B28="","",IF(LEFT($F28,6)="Listed","Quantity 0: shown on the station as a reminder, not weighed. Give it a weight to weigh it.",IF(LEFT($F28,7)="NEITHER","Cannot be weighed — split it, premix it, or raise the batch size",IF($G28&gt;Settings!$B$4*$E28+0.0001,"Held to the scale's resolution, not "&amp;TEXT(Settings!$B$4,"0%"),""))))</f>
        <v/>
      </c>
    </row>
    <row r="29" customFormat="false" ht="15" hidden="false" customHeight="false" outlineLevel="0" collapsed="false">
      <c r="A29" s="21" t="str">
        <f aca="false">IF($B29="","",21)</f>
        <v/>
      </c>
      <c r="B29" s="22"/>
      <c r="C29" s="23"/>
      <c r="D29" s="24" t="str">
        <f aca="false">IF(OR($B29="",$C$4=0),"",$C29/$C$4)</f>
        <v/>
      </c>
      <c r="E29" s="25" t="str">
        <f aca="false">IF($B29="","",$C29)</f>
        <v/>
      </c>
      <c r="F29" s="26" t="str">
        <f aca="false">IF($B29="","",IF($C29=0,"Listed — not weighed",IF($E29&lt;0,"NEITHER — negative weight",IF($E29&gt;=Settings!$B$19,Settings!$B$6,IF($E29&gt;Settings!$B$14,"NEITHER — over bench capacity",IF($E29&gt;=2*Settings!$B$12,Settings!$B$11,"NEITHER — under bench resolution"))))))</f>
        <v/>
      </c>
      <c r="G29" s="25" t="str">
        <f aca="false">IF($B29="","",IF($F29=Settings!$B$6,MAX(2*Settings!$B$7,Settings!$B$4*$E29),IF($F29=Settings!$B$11,MAX(2*Settings!$B$12,Settings!$B$4*$E29),"")))</f>
        <v/>
      </c>
      <c r="H29" s="27" t="str">
        <f aca="false">IF($B29="","",IF(LEFT($F29,6)="Listed","Quantity 0: shown on the station as a reminder, not weighed. Give it a weight to weigh it.",IF(LEFT($F29,7)="NEITHER","Cannot be weighed — split it, premix it, or raise the batch size",IF($G29&gt;Settings!$B$4*$E29+0.0001,"Held to the scale's resolution, not "&amp;TEXT(Settings!$B$4,"0%"),""))))</f>
        <v/>
      </c>
    </row>
    <row r="30" customFormat="false" ht="15" hidden="false" customHeight="false" outlineLevel="0" collapsed="false">
      <c r="A30" s="21" t="str">
        <f aca="false">IF($B30="","",22)</f>
        <v/>
      </c>
      <c r="B30" s="22"/>
      <c r="C30" s="23"/>
      <c r="D30" s="24" t="str">
        <f aca="false">IF(OR($B30="",$C$4=0),"",$C30/$C$4)</f>
        <v/>
      </c>
      <c r="E30" s="25" t="str">
        <f aca="false">IF($B30="","",$C30)</f>
        <v/>
      </c>
      <c r="F30" s="26" t="str">
        <f aca="false">IF($B30="","",IF($C30=0,"Listed — not weighed",IF($E30&lt;0,"NEITHER — negative weight",IF($E30&gt;=Settings!$B$19,Settings!$B$6,IF($E30&gt;Settings!$B$14,"NEITHER — over bench capacity",IF($E30&gt;=2*Settings!$B$12,Settings!$B$11,"NEITHER — under bench resolution"))))))</f>
        <v/>
      </c>
      <c r="G30" s="25" t="str">
        <f aca="false">IF($B30="","",IF($F30=Settings!$B$6,MAX(2*Settings!$B$7,Settings!$B$4*$E30),IF($F30=Settings!$B$11,MAX(2*Settings!$B$12,Settings!$B$4*$E30),"")))</f>
        <v/>
      </c>
      <c r="H30" s="27" t="str">
        <f aca="false">IF($B30="","",IF(LEFT($F30,6)="Listed","Quantity 0: shown on the station as a reminder, not weighed. Give it a weight to weigh it.",IF(LEFT($F30,7)="NEITHER","Cannot be weighed — split it, premix it, or raise the batch size",IF($G30&gt;Settings!$B$4*$E30+0.0001,"Held to the scale's resolution, not "&amp;TEXT(Settings!$B$4,"0%"),""))))</f>
        <v/>
      </c>
    </row>
    <row r="31" customFormat="false" ht="15" hidden="false" customHeight="false" outlineLevel="0" collapsed="false">
      <c r="A31" s="21" t="str">
        <f aca="false">IF($B31="","",23)</f>
        <v/>
      </c>
      <c r="B31" s="22"/>
      <c r="C31" s="23"/>
      <c r="D31" s="24" t="str">
        <f aca="false">IF(OR($B31="",$C$4=0),"",$C31/$C$4)</f>
        <v/>
      </c>
      <c r="E31" s="25" t="str">
        <f aca="false">IF($B31="","",$C31)</f>
        <v/>
      </c>
      <c r="F31" s="26" t="str">
        <f aca="false">IF($B31="","",IF($C31=0,"Listed — not weighed",IF($E31&lt;0,"NEITHER — negative weight",IF($E31&gt;=Settings!$B$19,Settings!$B$6,IF($E31&gt;Settings!$B$14,"NEITHER — over bench capacity",IF($E31&gt;=2*Settings!$B$12,Settings!$B$11,"NEITHER — under bench resolution"))))))</f>
        <v/>
      </c>
      <c r="G31" s="25" t="str">
        <f aca="false">IF($B31="","",IF($F31=Settings!$B$6,MAX(2*Settings!$B$7,Settings!$B$4*$E31),IF($F31=Settings!$B$11,MAX(2*Settings!$B$12,Settings!$B$4*$E31),"")))</f>
        <v/>
      </c>
      <c r="H31" s="27" t="str">
        <f aca="false">IF($B31="","",IF(LEFT($F31,6)="Listed","Quantity 0: shown on the station as a reminder, not weighed. Give it a weight to weigh it.",IF(LEFT($F31,7)="NEITHER","Cannot be weighed — split it, premix it, or raise the batch size",IF($G31&gt;Settings!$B$4*$E31+0.0001,"Held to the scale's resolution, not "&amp;TEXT(Settings!$B$4,"0%"),""))))</f>
        <v/>
      </c>
    </row>
    <row r="32" customFormat="false" ht="15" hidden="false" customHeight="false" outlineLevel="0" collapsed="false">
      <c r="A32" s="21" t="str">
        <f aca="false">IF($B32="","",24)</f>
        <v/>
      </c>
      <c r="B32" s="22"/>
      <c r="C32" s="23"/>
      <c r="D32" s="24" t="str">
        <f aca="false">IF(OR($B32="",$C$4=0),"",$C32/$C$4)</f>
        <v/>
      </c>
      <c r="E32" s="25" t="str">
        <f aca="false">IF($B32="","",$C32)</f>
        <v/>
      </c>
      <c r="F32" s="26" t="str">
        <f aca="false">IF($B32="","",IF($C32=0,"Listed — not weighed",IF($E32&lt;0,"NEITHER — negative weight",IF($E32&gt;=Settings!$B$19,Settings!$B$6,IF($E32&gt;Settings!$B$14,"NEITHER — over bench capacity",IF($E32&gt;=2*Settings!$B$12,Settings!$B$11,"NEITHER — under bench resolution"))))))</f>
        <v/>
      </c>
      <c r="G32" s="25" t="str">
        <f aca="false">IF($B32="","",IF($F32=Settings!$B$6,MAX(2*Settings!$B$7,Settings!$B$4*$E32),IF($F32=Settings!$B$11,MAX(2*Settings!$B$12,Settings!$B$4*$E32),"")))</f>
        <v/>
      </c>
      <c r="H32" s="27" t="str">
        <f aca="false">IF($B32="","",IF(LEFT($F32,6)="Listed","Quantity 0: shown on the station as a reminder, not weighed. Give it a weight to weigh it.",IF(LEFT($F32,7)="NEITHER","Cannot be weighed — split it, premix it, or raise the batch size",IF($G32&gt;Settings!$B$4*$E32+0.0001,"Held to the scale's resolution, not "&amp;TEXT(Settings!$B$4,"0%"),""))))</f>
        <v/>
      </c>
    </row>
    <row r="33" customFormat="false" ht="15" hidden="false" customHeight="false" outlineLevel="0" collapsed="false">
      <c r="A33" s="21" t="str">
        <f aca="false">IF($B33="","",25)</f>
        <v/>
      </c>
      <c r="B33" s="22"/>
      <c r="C33" s="23"/>
      <c r="D33" s="24" t="str">
        <f aca="false">IF(OR($B33="",$C$4=0),"",$C33/$C$4)</f>
        <v/>
      </c>
      <c r="E33" s="25" t="str">
        <f aca="false">IF($B33="","",$C33)</f>
        <v/>
      </c>
      <c r="F33" s="26" t="str">
        <f aca="false">IF($B33="","",IF($C33=0,"Listed — not weighed",IF($E33&lt;0,"NEITHER — negative weight",IF($E33&gt;=Settings!$B$19,Settings!$B$6,IF($E33&gt;Settings!$B$14,"NEITHER — over bench capacity",IF($E33&gt;=2*Settings!$B$12,Settings!$B$11,"NEITHER — under bench resolution"))))))</f>
        <v/>
      </c>
      <c r="G33" s="25" t="str">
        <f aca="false">IF($B33="","",IF($F33=Settings!$B$6,MAX(2*Settings!$B$7,Settings!$B$4*$E33),IF($F33=Settings!$B$11,MAX(2*Settings!$B$12,Settings!$B$4*$E33),"")))</f>
        <v/>
      </c>
      <c r="H33" s="27" t="str">
        <f aca="false">IF($B33="","",IF(LEFT($F33,6)="Listed","Quantity 0: shown on the station as a reminder, not weighed. Give it a weight to weigh it.",IF(LEFT($F33,7)="NEITHER","Cannot be weighed — split it, premix it, or raise the batch size",IF($G33&gt;Settings!$B$4*$E33+0.0001,"Held to the scale's resolution, not "&amp;TEXT(Settings!$B$4,"0%"),""))))</f>
        <v/>
      </c>
    </row>
    <row r="34" customFormat="false" ht="15" hidden="false" customHeight="false" outlineLevel="0" collapsed="false">
      <c r="A34" s="21" t="str">
        <f aca="false">IF($B34="","",26)</f>
        <v/>
      </c>
      <c r="B34" s="22"/>
      <c r="C34" s="23"/>
      <c r="D34" s="24" t="str">
        <f aca="false">IF(OR($B34="",$C$4=0),"",$C34/$C$4)</f>
        <v/>
      </c>
      <c r="E34" s="25" t="str">
        <f aca="false">IF($B34="","",$C34)</f>
        <v/>
      </c>
      <c r="F34" s="26" t="str">
        <f aca="false">IF($B34="","",IF($C34=0,"Listed — not weighed",IF($E34&lt;0,"NEITHER — negative weight",IF($E34&gt;=Settings!$B$19,Settings!$B$6,IF($E34&gt;Settings!$B$14,"NEITHER — over bench capacity",IF($E34&gt;=2*Settings!$B$12,Settings!$B$11,"NEITHER — under bench resolution"))))))</f>
        <v/>
      </c>
      <c r="G34" s="25" t="str">
        <f aca="false">IF($B34="","",IF($F34=Settings!$B$6,MAX(2*Settings!$B$7,Settings!$B$4*$E34),IF($F34=Settings!$B$11,MAX(2*Settings!$B$12,Settings!$B$4*$E34),"")))</f>
        <v/>
      </c>
      <c r="H34" s="27" t="str">
        <f aca="false">IF($B34="","",IF(LEFT($F34,6)="Listed","Quantity 0: shown on the station as a reminder, not weighed. Give it a weight to weigh it.",IF(LEFT($F34,7)="NEITHER","Cannot be weighed — split it, premix it, or raise the batch size",IF($G34&gt;Settings!$B$4*$E34+0.0001,"Held to the scale's resolution, not "&amp;TEXT(Settings!$B$4,"0%"),""))))</f>
        <v/>
      </c>
    </row>
    <row r="35" customFormat="false" ht="15" hidden="false" customHeight="false" outlineLevel="0" collapsed="false">
      <c r="A35" s="21" t="str">
        <f aca="false">IF($B35="","",27)</f>
        <v/>
      </c>
      <c r="B35" s="22"/>
      <c r="C35" s="23"/>
      <c r="D35" s="24" t="str">
        <f aca="false">IF(OR($B35="",$C$4=0),"",$C35/$C$4)</f>
        <v/>
      </c>
      <c r="E35" s="25" t="str">
        <f aca="false">IF($B35="","",$C35)</f>
        <v/>
      </c>
      <c r="F35" s="26" t="str">
        <f aca="false">IF($B35="","",IF($C35=0,"Listed — not weighed",IF($E35&lt;0,"NEITHER — negative weight",IF($E35&gt;=Settings!$B$19,Settings!$B$6,IF($E35&gt;Settings!$B$14,"NEITHER — over bench capacity",IF($E35&gt;=2*Settings!$B$12,Settings!$B$11,"NEITHER — under bench resolution"))))))</f>
        <v/>
      </c>
      <c r="G35" s="25" t="str">
        <f aca="false">IF($B35="","",IF($F35=Settings!$B$6,MAX(2*Settings!$B$7,Settings!$B$4*$E35),IF($F35=Settings!$B$11,MAX(2*Settings!$B$12,Settings!$B$4*$E35),"")))</f>
        <v/>
      </c>
      <c r="H35" s="27" t="str">
        <f aca="false">IF($B35="","",IF(LEFT($F35,6)="Listed","Quantity 0: shown on the station as a reminder, not weighed. Give it a weight to weigh it.",IF(LEFT($F35,7)="NEITHER","Cannot be weighed — split it, premix it, or raise the batch size",IF($G35&gt;Settings!$B$4*$E35+0.0001,"Held to the scale's resolution, not "&amp;TEXT(Settings!$B$4,"0%"),""))))</f>
        <v/>
      </c>
    </row>
    <row r="36" customFormat="false" ht="15" hidden="false" customHeight="false" outlineLevel="0" collapsed="false">
      <c r="A36" s="21" t="str">
        <f aca="false">IF($B36="","",28)</f>
        <v/>
      </c>
      <c r="B36" s="22"/>
      <c r="C36" s="23"/>
      <c r="D36" s="24" t="str">
        <f aca="false">IF(OR($B36="",$C$4=0),"",$C36/$C$4)</f>
        <v/>
      </c>
      <c r="E36" s="25" t="str">
        <f aca="false">IF($B36="","",$C36)</f>
        <v/>
      </c>
      <c r="F36" s="26" t="str">
        <f aca="false">IF($B36="","",IF($C36=0,"Listed — not weighed",IF($E36&lt;0,"NEITHER — negative weight",IF($E36&gt;=Settings!$B$19,Settings!$B$6,IF($E36&gt;Settings!$B$14,"NEITHER — over bench capacity",IF($E36&gt;=2*Settings!$B$12,Settings!$B$11,"NEITHER — under bench resolution"))))))</f>
        <v/>
      </c>
      <c r="G36" s="25" t="str">
        <f aca="false">IF($B36="","",IF($F36=Settings!$B$6,MAX(2*Settings!$B$7,Settings!$B$4*$E36),IF($F36=Settings!$B$11,MAX(2*Settings!$B$12,Settings!$B$4*$E36),"")))</f>
        <v/>
      </c>
      <c r="H36" s="27" t="str">
        <f aca="false">IF($B36="","",IF(LEFT($F36,6)="Listed","Quantity 0: shown on the station as a reminder, not weighed. Give it a weight to weigh it.",IF(LEFT($F36,7)="NEITHER","Cannot be weighed — split it, premix it, or raise the batch size",IF($G36&gt;Settings!$B$4*$E36+0.0001,"Held to the scale's resolution, not "&amp;TEXT(Settings!$B$4,"0%"),""))))</f>
        <v/>
      </c>
    </row>
    <row r="37" customFormat="false" ht="15" hidden="false" customHeight="false" outlineLevel="0" collapsed="false">
      <c r="A37" s="21" t="str">
        <f aca="false">IF($B37="","",29)</f>
        <v/>
      </c>
      <c r="B37" s="22"/>
      <c r="C37" s="23"/>
      <c r="D37" s="24" t="str">
        <f aca="false">IF(OR($B37="",$C$4=0),"",$C37/$C$4)</f>
        <v/>
      </c>
      <c r="E37" s="25" t="str">
        <f aca="false">IF($B37="","",$C37)</f>
        <v/>
      </c>
      <c r="F37" s="26" t="str">
        <f aca="false">IF($B37="","",IF($C37=0,"Listed — not weighed",IF($E37&lt;0,"NEITHER — negative weight",IF($E37&gt;=Settings!$B$19,Settings!$B$6,IF($E37&gt;Settings!$B$14,"NEITHER — over bench capacity",IF($E37&gt;=2*Settings!$B$12,Settings!$B$11,"NEITHER — under bench resolution"))))))</f>
        <v/>
      </c>
      <c r="G37" s="25" t="str">
        <f aca="false">IF($B37="","",IF($F37=Settings!$B$6,MAX(2*Settings!$B$7,Settings!$B$4*$E37),IF($F37=Settings!$B$11,MAX(2*Settings!$B$12,Settings!$B$4*$E37),"")))</f>
        <v/>
      </c>
      <c r="H37" s="27" t="str">
        <f aca="false">IF($B37="","",IF(LEFT($F37,6)="Listed","Quantity 0: shown on the station as a reminder, not weighed. Give it a weight to weigh it.",IF(LEFT($F37,7)="NEITHER","Cannot be weighed — split it, premix it, or raise the batch size",IF($G37&gt;Settings!$B$4*$E37+0.0001,"Held to the scale's resolution, not "&amp;TEXT(Settings!$B$4,"0%"),""))))</f>
        <v/>
      </c>
    </row>
    <row r="38" customFormat="false" ht="15" hidden="false" customHeight="false" outlineLevel="0" collapsed="false">
      <c r="A38" s="21" t="str">
        <f aca="false">IF($B38="","",30)</f>
        <v/>
      </c>
      <c r="B38" s="22"/>
      <c r="C38" s="23"/>
      <c r="D38" s="24" t="str">
        <f aca="false">IF(OR($B38="",$C$4=0),"",$C38/$C$4)</f>
        <v/>
      </c>
      <c r="E38" s="25" t="str">
        <f aca="false">IF($B38="","",$C38)</f>
        <v/>
      </c>
      <c r="F38" s="26" t="str">
        <f aca="false">IF($B38="","",IF($C38=0,"Listed — not weighed",IF($E38&lt;0,"NEITHER — negative weight",IF($E38&gt;=Settings!$B$19,Settings!$B$6,IF($E38&gt;Settings!$B$14,"NEITHER — over bench capacity",IF($E38&gt;=2*Settings!$B$12,Settings!$B$11,"NEITHER — under bench resolution"))))))</f>
        <v/>
      </c>
      <c r="G38" s="25" t="str">
        <f aca="false">IF($B38="","",IF($F38=Settings!$B$6,MAX(2*Settings!$B$7,Settings!$B$4*$E38),IF($F38=Settings!$B$11,MAX(2*Settings!$B$12,Settings!$B$4*$E38),"")))</f>
        <v/>
      </c>
      <c r="H38" s="27" t="str">
        <f aca="false">IF($B38="","",IF(LEFT($F38,6)="Listed","Quantity 0: shown on the station as a reminder, not weighed. Give it a weight to weigh it.",IF(LEFT($F38,7)="NEITHER","Cannot be weighed — split it, premix it, or raise the batch size",IF($G38&gt;Settings!$B$4*$E38+0.0001,"Held to the scale's resolution, not "&amp;TEXT(Settings!$B$4,"0%"),""))))</f>
        <v/>
      </c>
    </row>
    <row r="39" customFormat="false" ht="15" hidden="false" customHeight="false" outlineLevel="0" collapsed="false">
      <c r="A39" s="21" t="str">
        <f aca="false">IF($B39="","",31)</f>
        <v/>
      </c>
      <c r="B39" s="22"/>
      <c r="C39" s="23"/>
      <c r="D39" s="24" t="str">
        <f aca="false">IF(OR($B39="",$C$4=0),"",$C39/$C$4)</f>
        <v/>
      </c>
      <c r="E39" s="25" t="str">
        <f aca="false">IF($B39="","",$C39)</f>
        <v/>
      </c>
      <c r="F39" s="26" t="str">
        <f aca="false">IF($B39="","",IF($C39=0,"Listed — not weighed",IF($E39&lt;0,"NEITHER — negative weight",IF($E39&gt;=Settings!$B$19,Settings!$B$6,IF($E39&gt;Settings!$B$14,"NEITHER — over bench capacity",IF($E39&gt;=2*Settings!$B$12,Settings!$B$11,"NEITHER — under bench resolution"))))))</f>
        <v/>
      </c>
      <c r="G39" s="25" t="str">
        <f aca="false">IF($B39="","",IF($F39=Settings!$B$6,MAX(2*Settings!$B$7,Settings!$B$4*$E39),IF($F39=Settings!$B$11,MAX(2*Settings!$B$12,Settings!$B$4*$E39),"")))</f>
        <v/>
      </c>
      <c r="H39" s="27" t="str">
        <f aca="false">IF($B39="","",IF(LEFT($F39,6)="Listed","Quantity 0: shown on the station as a reminder, not weighed. Give it a weight to weigh it.",IF(LEFT($F39,7)="NEITHER","Cannot be weighed — split it, premix it, or raise the batch size",IF($G39&gt;Settings!$B$4*$E39+0.0001,"Held to the scale's resolution, not "&amp;TEXT(Settings!$B$4,"0%"),""))))</f>
        <v/>
      </c>
    </row>
    <row r="40" customFormat="false" ht="15" hidden="false" customHeight="false" outlineLevel="0" collapsed="false">
      <c r="A40" s="21" t="str">
        <f aca="false">IF($B40="","",32)</f>
        <v/>
      </c>
      <c r="B40" s="22"/>
      <c r="C40" s="23"/>
      <c r="D40" s="24" t="str">
        <f aca="false">IF(OR($B40="",$C$4=0),"",$C40/$C$4)</f>
        <v/>
      </c>
      <c r="E40" s="25" t="str">
        <f aca="false">IF($B40="","",$C40)</f>
        <v/>
      </c>
      <c r="F40" s="26" t="str">
        <f aca="false">IF($B40="","",IF($C40=0,"Listed — not weighed",IF($E40&lt;0,"NEITHER — negative weight",IF($E40&gt;=Settings!$B$19,Settings!$B$6,IF($E40&gt;Settings!$B$14,"NEITHER — over bench capacity",IF($E40&gt;=2*Settings!$B$12,Settings!$B$11,"NEITHER — under bench resolution"))))))</f>
        <v/>
      </c>
      <c r="G40" s="25" t="str">
        <f aca="false">IF($B40="","",IF($F40=Settings!$B$6,MAX(2*Settings!$B$7,Settings!$B$4*$E40),IF($F40=Settings!$B$11,MAX(2*Settings!$B$12,Settings!$B$4*$E40),"")))</f>
        <v/>
      </c>
      <c r="H40" s="27" t="str">
        <f aca="false">IF($B40="","",IF(LEFT($F40,6)="Listed","Quantity 0: shown on the station as a reminder, not weighed. Give it a weight to weigh it.",IF(LEFT($F40,7)="NEITHER","Cannot be weighed — split it, premix it, or raise the batch size",IF($G40&gt;Settings!$B$4*$E40+0.0001,"Held to the scale's resolution, not "&amp;TEXT(Settings!$B$4,"0%"),""))))</f>
        <v/>
      </c>
    </row>
    <row r="41" customFormat="false" ht="15" hidden="false" customHeight="false" outlineLevel="0" collapsed="false">
      <c r="A41" s="21" t="str">
        <f aca="false">IF($B41="","",33)</f>
        <v/>
      </c>
      <c r="B41" s="22"/>
      <c r="C41" s="23"/>
      <c r="D41" s="24" t="str">
        <f aca="false">IF(OR($B41="",$C$4=0),"",$C41/$C$4)</f>
        <v/>
      </c>
      <c r="E41" s="25" t="str">
        <f aca="false">IF($B41="","",$C41)</f>
        <v/>
      </c>
      <c r="F41" s="26" t="str">
        <f aca="false">IF($B41="","",IF($C41=0,"Listed — not weighed",IF($E41&lt;0,"NEITHER — negative weight",IF($E41&gt;=Settings!$B$19,Settings!$B$6,IF($E41&gt;Settings!$B$14,"NEITHER — over bench capacity",IF($E41&gt;=2*Settings!$B$12,Settings!$B$11,"NEITHER — under bench resolution"))))))</f>
        <v/>
      </c>
      <c r="G41" s="25" t="str">
        <f aca="false">IF($B41="","",IF($F41=Settings!$B$6,MAX(2*Settings!$B$7,Settings!$B$4*$E41),IF($F41=Settings!$B$11,MAX(2*Settings!$B$12,Settings!$B$4*$E41),"")))</f>
        <v/>
      </c>
      <c r="H41" s="27" t="str">
        <f aca="false">IF($B41="","",IF(LEFT($F41,6)="Listed","Quantity 0: shown on the station as a reminder, not weighed. Give it a weight to weigh it.",IF(LEFT($F41,7)="NEITHER","Cannot be weighed — split it, premix it, or raise the batch size",IF($G41&gt;Settings!$B$4*$E41+0.0001,"Held to the scale's resolution, not "&amp;TEXT(Settings!$B$4,"0%"),""))))</f>
        <v/>
      </c>
    </row>
    <row r="42" customFormat="false" ht="15" hidden="false" customHeight="false" outlineLevel="0" collapsed="false">
      <c r="A42" s="21" t="str">
        <f aca="false">IF($B42="","",34)</f>
        <v/>
      </c>
      <c r="B42" s="22"/>
      <c r="C42" s="23"/>
      <c r="D42" s="24" t="str">
        <f aca="false">IF(OR($B42="",$C$4=0),"",$C42/$C$4)</f>
        <v/>
      </c>
      <c r="E42" s="25" t="str">
        <f aca="false">IF($B42="","",$C42)</f>
        <v/>
      </c>
      <c r="F42" s="26" t="str">
        <f aca="false">IF($B42="","",IF($C42=0,"Listed — not weighed",IF($E42&lt;0,"NEITHER — negative weight",IF($E42&gt;=Settings!$B$19,Settings!$B$6,IF($E42&gt;Settings!$B$14,"NEITHER — over bench capacity",IF($E42&gt;=2*Settings!$B$12,Settings!$B$11,"NEITHER — under bench resolution"))))))</f>
        <v/>
      </c>
      <c r="G42" s="25" t="str">
        <f aca="false">IF($B42="","",IF($F42=Settings!$B$6,MAX(2*Settings!$B$7,Settings!$B$4*$E42),IF($F42=Settings!$B$11,MAX(2*Settings!$B$12,Settings!$B$4*$E42),"")))</f>
        <v/>
      </c>
      <c r="H42" s="27" t="str">
        <f aca="false">IF($B42="","",IF(LEFT($F42,6)="Listed","Quantity 0: shown on the station as a reminder, not weighed. Give it a weight to weigh it.",IF(LEFT($F42,7)="NEITHER","Cannot be weighed — split it, premix it, or raise the batch size",IF($G42&gt;Settings!$B$4*$E42+0.0001,"Held to the scale's resolution, not "&amp;TEXT(Settings!$B$4,"0%"),""))))</f>
        <v/>
      </c>
    </row>
    <row r="43" customFormat="false" ht="15" hidden="false" customHeight="false" outlineLevel="0" collapsed="false">
      <c r="A43" s="21" t="str">
        <f aca="false">IF($B43="","",35)</f>
        <v/>
      </c>
      <c r="B43" s="22"/>
      <c r="C43" s="23"/>
      <c r="D43" s="24" t="str">
        <f aca="false">IF(OR($B43="",$C$4=0),"",$C43/$C$4)</f>
        <v/>
      </c>
      <c r="E43" s="25" t="str">
        <f aca="false">IF($B43="","",$C43)</f>
        <v/>
      </c>
      <c r="F43" s="26" t="str">
        <f aca="false">IF($B43="","",IF($C43=0,"Listed — not weighed",IF($E43&lt;0,"NEITHER — negative weight",IF($E43&gt;=Settings!$B$19,Settings!$B$6,IF($E43&gt;Settings!$B$14,"NEITHER — over bench capacity",IF($E43&gt;=2*Settings!$B$12,Settings!$B$11,"NEITHER — under bench resolution"))))))</f>
        <v/>
      </c>
      <c r="G43" s="25" t="str">
        <f aca="false">IF($B43="","",IF($F43=Settings!$B$6,MAX(2*Settings!$B$7,Settings!$B$4*$E43),IF($F43=Settings!$B$11,MAX(2*Settings!$B$12,Settings!$B$4*$E43),"")))</f>
        <v/>
      </c>
      <c r="H43" s="27" t="str">
        <f aca="false">IF($B43="","",IF(LEFT($F43,6)="Listed","Quantity 0: shown on the station as a reminder, not weighed. Give it a weight to weigh it.",IF(LEFT($F43,7)="NEITHER","Cannot be weighed — split it, premix it, or raise the batch size",IF($G43&gt;Settings!$B$4*$E43+0.0001,"Held to the scale's resolution, not "&amp;TEXT(Settings!$B$4,"0%"),""))))</f>
        <v/>
      </c>
    </row>
    <row r="44" customFormat="false" ht="15" hidden="false" customHeight="false" outlineLevel="0" collapsed="false">
      <c r="A44" s="21" t="str">
        <f aca="false">IF($B44="","",36)</f>
        <v/>
      </c>
      <c r="B44" s="22"/>
      <c r="C44" s="23"/>
      <c r="D44" s="24" t="str">
        <f aca="false">IF(OR($B44="",$C$4=0),"",$C44/$C$4)</f>
        <v/>
      </c>
      <c r="E44" s="25" t="str">
        <f aca="false">IF($B44="","",$C44)</f>
        <v/>
      </c>
      <c r="F44" s="26" t="str">
        <f aca="false">IF($B44="","",IF($C44=0,"Listed — not weighed",IF($E44&lt;0,"NEITHER — negative weight",IF($E44&gt;=Settings!$B$19,Settings!$B$6,IF($E44&gt;Settings!$B$14,"NEITHER — over bench capacity",IF($E44&gt;=2*Settings!$B$12,Settings!$B$11,"NEITHER — under bench resolution"))))))</f>
        <v/>
      </c>
      <c r="G44" s="25" t="str">
        <f aca="false">IF($B44="","",IF($F44=Settings!$B$6,MAX(2*Settings!$B$7,Settings!$B$4*$E44),IF($F44=Settings!$B$11,MAX(2*Settings!$B$12,Settings!$B$4*$E44),"")))</f>
        <v/>
      </c>
      <c r="H44" s="27" t="str">
        <f aca="false">IF($B44="","",IF(LEFT($F44,6)="Listed","Quantity 0: shown on the station as a reminder, not weighed. Give it a weight to weigh it.",IF(LEFT($F44,7)="NEITHER","Cannot be weighed — split it, premix it, or raise the batch size",IF($G44&gt;Settings!$B$4*$E44+0.0001,"Held to the scale's resolution, not "&amp;TEXT(Settings!$B$4,"0%"),""))))</f>
        <v/>
      </c>
    </row>
    <row r="45" customFormat="false" ht="15" hidden="false" customHeight="false" outlineLevel="0" collapsed="false">
      <c r="A45" s="21" t="str">
        <f aca="false">IF($B45="","",37)</f>
        <v/>
      </c>
      <c r="B45" s="22"/>
      <c r="C45" s="23"/>
      <c r="D45" s="24" t="str">
        <f aca="false">IF(OR($B45="",$C$4=0),"",$C45/$C$4)</f>
        <v/>
      </c>
      <c r="E45" s="25" t="str">
        <f aca="false">IF($B45="","",$C45)</f>
        <v/>
      </c>
      <c r="F45" s="26" t="str">
        <f aca="false">IF($B45="","",IF($C45=0,"Listed — not weighed",IF($E45&lt;0,"NEITHER — negative weight",IF($E45&gt;=Settings!$B$19,Settings!$B$6,IF($E45&gt;Settings!$B$14,"NEITHER — over bench capacity",IF($E45&gt;=2*Settings!$B$12,Settings!$B$11,"NEITHER — under bench resolution"))))))</f>
        <v/>
      </c>
      <c r="G45" s="25" t="str">
        <f aca="false">IF($B45="","",IF($F45=Settings!$B$6,MAX(2*Settings!$B$7,Settings!$B$4*$E45),IF($F45=Settings!$B$11,MAX(2*Settings!$B$12,Settings!$B$4*$E45),"")))</f>
        <v/>
      </c>
      <c r="H45" s="27" t="str">
        <f aca="false">IF($B45="","",IF(LEFT($F45,6)="Listed","Quantity 0: shown on the station as a reminder, not weighed. Give it a weight to weigh it.",IF(LEFT($F45,7)="NEITHER","Cannot be weighed — split it, premix it, or raise the batch size",IF($G45&gt;Settings!$B$4*$E45+0.0001,"Held to the scale's resolution, not "&amp;TEXT(Settings!$B$4,"0%"),""))))</f>
        <v/>
      </c>
    </row>
    <row r="46" customFormat="false" ht="15" hidden="false" customHeight="false" outlineLevel="0" collapsed="false">
      <c r="A46" s="21" t="str">
        <f aca="false">IF($B46="","",38)</f>
        <v/>
      </c>
      <c r="B46" s="22"/>
      <c r="C46" s="23"/>
      <c r="D46" s="24" t="str">
        <f aca="false">IF(OR($B46="",$C$4=0),"",$C46/$C$4)</f>
        <v/>
      </c>
      <c r="E46" s="25" t="str">
        <f aca="false">IF($B46="","",$C46)</f>
        <v/>
      </c>
      <c r="F46" s="26" t="str">
        <f aca="false">IF($B46="","",IF($C46=0,"Listed — not weighed",IF($E46&lt;0,"NEITHER — negative weight",IF($E46&gt;=Settings!$B$19,Settings!$B$6,IF($E46&gt;Settings!$B$14,"NEITHER — over bench capacity",IF($E46&gt;=2*Settings!$B$12,Settings!$B$11,"NEITHER — under bench resolution"))))))</f>
        <v/>
      </c>
      <c r="G46" s="25" t="str">
        <f aca="false">IF($B46="","",IF($F46=Settings!$B$6,MAX(2*Settings!$B$7,Settings!$B$4*$E46),IF($F46=Settings!$B$11,MAX(2*Settings!$B$12,Settings!$B$4*$E46),"")))</f>
        <v/>
      </c>
      <c r="H46" s="27" t="str">
        <f aca="false">IF($B46="","",IF(LEFT($F46,6)="Listed","Quantity 0: shown on the station as a reminder, not weighed. Give it a weight to weigh it.",IF(LEFT($F46,7)="NEITHER","Cannot be weighed — split it, premix it, or raise the batch size",IF($G46&gt;Settings!$B$4*$E46+0.0001,"Held to the scale's resolution, not "&amp;TEXT(Settings!$B$4,"0%"),""))))</f>
        <v/>
      </c>
    </row>
    <row r="47" customFormat="false" ht="15" hidden="false" customHeight="false" outlineLevel="0" collapsed="false">
      <c r="A47" s="21" t="str">
        <f aca="false">IF($B47="","",39)</f>
        <v/>
      </c>
      <c r="B47" s="22"/>
      <c r="C47" s="23"/>
      <c r="D47" s="24" t="str">
        <f aca="false">IF(OR($B47="",$C$4=0),"",$C47/$C$4)</f>
        <v/>
      </c>
      <c r="E47" s="25" t="str">
        <f aca="false">IF($B47="","",$C47)</f>
        <v/>
      </c>
      <c r="F47" s="26" t="str">
        <f aca="false">IF($B47="","",IF($C47=0,"Listed — not weighed",IF($E47&lt;0,"NEITHER — negative weight",IF($E47&gt;=Settings!$B$19,Settings!$B$6,IF($E47&gt;Settings!$B$14,"NEITHER — over bench capacity",IF($E47&gt;=2*Settings!$B$12,Settings!$B$11,"NEITHER — under bench resolution"))))))</f>
        <v/>
      </c>
      <c r="G47" s="25" t="str">
        <f aca="false">IF($B47="","",IF($F47=Settings!$B$6,MAX(2*Settings!$B$7,Settings!$B$4*$E47),IF($F47=Settings!$B$11,MAX(2*Settings!$B$12,Settings!$B$4*$E47),"")))</f>
        <v/>
      </c>
      <c r="H47" s="27" t="str">
        <f aca="false">IF($B47="","",IF(LEFT($F47,6)="Listed","Quantity 0: shown on the station as a reminder, not weighed. Give it a weight to weigh it.",IF(LEFT($F47,7)="NEITHER","Cannot be weighed — split it, premix it, or raise the batch size",IF($G47&gt;Settings!$B$4*$E47+0.0001,"Held to the scale's resolution, not "&amp;TEXT(Settings!$B$4,"0%"),""))))</f>
        <v/>
      </c>
    </row>
    <row r="48" customFormat="false" ht="15" hidden="false" customHeight="false" outlineLevel="0" collapsed="false">
      <c r="A48" s="21" t="str">
        <f aca="false">IF($B48="","",40)</f>
        <v/>
      </c>
      <c r="B48" s="22"/>
      <c r="C48" s="23"/>
      <c r="D48" s="24" t="str">
        <f aca="false">IF(OR($B48="",$C$4=0),"",$C48/$C$4)</f>
        <v/>
      </c>
      <c r="E48" s="25" t="str">
        <f aca="false">IF($B48="","",$C48)</f>
        <v/>
      </c>
      <c r="F48" s="26" t="str">
        <f aca="false">IF($B48="","",IF($C48=0,"Listed — not weighed",IF($E48&lt;0,"NEITHER — negative weight",IF($E48&gt;=Settings!$B$19,Settings!$B$6,IF($E48&gt;Settings!$B$14,"NEITHER — over bench capacity",IF($E48&gt;=2*Settings!$B$12,Settings!$B$11,"NEITHER — under bench resolution"))))))</f>
        <v/>
      </c>
      <c r="G48" s="25" t="str">
        <f aca="false">IF($B48="","",IF($F48=Settings!$B$6,MAX(2*Settings!$B$7,Settings!$B$4*$E48),IF($F48=Settings!$B$11,MAX(2*Settings!$B$12,Settings!$B$4*$E48),"")))</f>
        <v/>
      </c>
      <c r="H48" s="27" t="str">
        <f aca="false">IF($B48="","",IF(LEFT($F48,6)="Listed","Quantity 0: shown on the station as a reminder, not weighed. Give it a weight to weigh it.",IF(LEFT($F48,7)="NEITHER","Cannot be weighed — split it, premix it, or raise the batch size",IF($G48&gt;Settings!$B$4*$E48+0.0001,"Held to the scale's resolution, not "&amp;TEXT(Settings!$B$4,"0%"),""))))</f>
        <v/>
      </c>
    </row>
    <row r="50" customFormat="false" ht="15" hidden="false" customHeight="false" outlineLevel="0" collapsed="false">
      <c r="B50" s="17" t="s">
        <v>67</v>
      </c>
      <c r="C50" s="28" t="n">
        <f aca="false">SUM(C9:C48)</f>
        <v>2004</v>
      </c>
      <c r="D50" s="29" t="n">
        <f aca="false">SUM(D9:D48)</f>
        <v>1</v>
      </c>
      <c r="E50" s="28" t="n">
        <f aca="false">SUM(E9:E48)</f>
        <v>2004</v>
      </c>
    </row>
    <row r="51" customFormat="false" ht="15" hidden="false" customHeight="false" outlineLevel="0" collapsed="false">
      <c r="B51" s="5" t="s">
        <v>170</v>
      </c>
      <c r="E51" s="30" t="n">
        <f aca="false">E50</f>
        <v>2004</v>
      </c>
    </row>
    <row r="53" customFormat="false" ht="15" hidden="false" customHeight="false" outlineLevel="0" collapsed="false">
      <c r="B53" s="15" t="str">
        <f aca="false">IF(COUNTIF($F$9:$F$48,"NEITHER*")=0,"All ingredients can be weighed.","WARNING: "&amp;COUNTIF($F$9:$F$48,"NEITHER*")&amp;" ingredient(s) cannot be weighed on either scale — see the Note column.")</f>
        <v>All ingredients can be weighed.</v>
      </c>
      <c r="C53" s="15"/>
      <c r="D53" s="15"/>
      <c r="E53" s="15"/>
      <c r="F53" s="15"/>
      <c r="G53" s="15"/>
      <c r="H53" s="15"/>
    </row>
  </sheetData>
  <mergeCells count="15">
    <mergeCell ref="A1:H1"/>
    <mergeCell ref="A2:H2"/>
    <mergeCell ref="A3:B3"/>
    <mergeCell ref="D3:H3"/>
    <mergeCell ref="A4:B4"/>
    <mergeCell ref="D4:H4"/>
    <mergeCell ref="A5:B5"/>
    <mergeCell ref="D5:E5"/>
    <mergeCell ref="F5:H5"/>
    <mergeCell ref="A6:B6"/>
    <mergeCell ref="D6:E6"/>
    <mergeCell ref="F6:H6"/>
    <mergeCell ref="A7:B7"/>
    <mergeCell ref="D7:H7"/>
    <mergeCell ref="B53:H53"/>
  </mergeCells>
  <conditionalFormatting sqref="B53:H53">
    <cfRule type="expression" priority="2" aboveAverage="0" equalAverage="0" bottom="0" percent="0" rank="0" text="" dxfId="0">
      <formula>LEFT($B$53,5)="ERROR"</formula>
    </cfRule>
  </conditionalFormatting>
  <conditionalFormatting sqref="A9:H48">
    <cfRule type="expression" priority="3" aboveAverage="0" equalAverage="0" bottom="0" percent="0" rank="0" text="" dxfId="1">
      <formula>LEFT($F9,7)="NEITHER"</formula>
    </cfRule>
    <cfRule type="expression" priority="4" aboveAverage="0" equalAverage="0" bottom="0" percent="0" rank="0" text="" dxfId="2">
      <formula>AND($B9&lt;&gt;"",$H9&lt;&gt;"")</formula>
    </cfRule>
  </conditionalFormatting>
  <dataValidations count="1">
    <dataValidation allowBlank="true" errorStyle="stop" operator="between" showDropDown="false" showErrorMessage="false" showInputMessage="false" sqref="B9:B48" type="list">
      <formula1>IngredientList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7"/>
    <col collapsed="false" customWidth="true" hidden="false" outlineLevel="0" max="4" min="3" style="0" width="12"/>
    <col collapsed="false" customWidth="true" hidden="false" outlineLevel="0" max="5" min="5" style="0" width="17"/>
    <col collapsed="false" customWidth="true" hidden="false" outlineLevel="0" max="7" min="6" style="0" width="14"/>
    <col collapsed="false" customWidth="true" hidden="false" outlineLevel="0" max="8" min="8" style="0" width="17"/>
  </cols>
  <sheetData>
    <row r="1" customFormat="false" ht="17.35" hidden="false" customHeight="false" outlineLevel="0" collapsed="false">
      <c r="A1" s="1" t="s">
        <v>171</v>
      </c>
      <c r="B1" s="1"/>
      <c r="C1" s="1"/>
      <c r="D1" s="1"/>
      <c r="E1" s="1"/>
      <c r="F1" s="1"/>
      <c r="G1" s="1"/>
      <c r="H1" s="1"/>
    </row>
    <row r="2" customFormat="false" ht="15" hidden="false" customHeight="false" outlineLevel="0" collapsed="false">
      <c r="A2" s="2" t="s">
        <v>172</v>
      </c>
      <c r="B2" s="2"/>
      <c r="C2" s="2"/>
      <c r="D2" s="2"/>
      <c r="E2" s="2"/>
      <c r="F2" s="2"/>
      <c r="G2" s="2"/>
      <c r="H2" s="2"/>
    </row>
    <row r="4" customFormat="false" ht="23.85" hidden="false" customHeight="false" outlineLevel="0" collapsed="false">
      <c r="A4" s="20" t="s">
        <v>173</v>
      </c>
      <c r="B4" s="20" t="s">
        <v>45</v>
      </c>
      <c r="C4" s="20" t="s">
        <v>174</v>
      </c>
      <c r="D4" s="20" t="s">
        <v>175</v>
      </c>
      <c r="E4" s="20" t="s">
        <v>176</v>
      </c>
      <c r="F4" s="20" t="s">
        <v>177</v>
      </c>
      <c r="G4" s="20" t="s">
        <v>178</v>
      </c>
      <c r="H4" s="20" t="s">
        <v>179</v>
      </c>
    </row>
    <row r="5" customFormat="false" ht="15" hidden="false" customHeight="false" outlineLevel="0" collapsed="false">
      <c r="A5" s="17" t="s">
        <v>43</v>
      </c>
      <c r="B5" s="26" t="str">
        <f aca="false">'Vinegar Bath'!$C$3</f>
        <v>Per 1 kg of meat</v>
      </c>
      <c r="C5" s="26" t="n">
        <f aca="false">COUNTA('Vinegar Bath'!$B$9:$B$48)</f>
        <v>1</v>
      </c>
      <c r="D5" s="25" t="n">
        <f aca="false">'Vinegar Bath'!$C$50</f>
        <v>15</v>
      </c>
      <c r="E5" s="26" t="s">
        <v>180</v>
      </c>
      <c r="F5" s="26" t="n">
        <f aca="false">COUNTIF('Vinegar Bath'!$F$9:$F$48,Settings!$B$6)</f>
        <v>1</v>
      </c>
      <c r="G5" s="26" t="n">
        <f aca="false">COUNTIF('Vinegar Bath'!$F$9:$F$48,Settings!$B$11)</f>
        <v>0</v>
      </c>
      <c r="H5" s="26" t="n">
        <f aca="false">COUNTIF('Vinegar Bath'!$F$9:$F$48,"NEITHER*")</f>
        <v>0</v>
      </c>
    </row>
    <row r="6" customFormat="false" ht="15" hidden="false" customHeight="false" outlineLevel="0" collapsed="false">
      <c r="A6" s="17" t="s">
        <v>69</v>
      </c>
      <c r="B6" s="26" t="str">
        <f aca="false">'Teriyaki Jerky'!$C$3</f>
        <v>Per 1 kg of meat</v>
      </c>
      <c r="C6" s="26" t="n">
        <f aca="false">COUNTA('Teriyaki Jerky'!$B$9:$B$48)</f>
        <v>16</v>
      </c>
      <c r="D6" s="25" t="n">
        <f aca="false">'Teriyaki Jerky'!$C$50</f>
        <v>255.05</v>
      </c>
      <c r="E6" s="26" t="s">
        <v>180</v>
      </c>
      <c r="F6" s="26" t="n">
        <f aca="false">COUNTIF('Teriyaki Jerky'!$F$9:$F$48,Settings!$B$6)</f>
        <v>11</v>
      </c>
      <c r="G6" s="26" t="n">
        <f aca="false">COUNTIF('Teriyaki Jerky'!$F$9:$F$48,Settings!$B$11)</f>
        <v>4</v>
      </c>
      <c r="H6" s="26" t="n">
        <f aca="false">COUNTIF('Teriyaki Jerky'!$F$9:$F$48,"NEITHER*")</f>
        <v>0</v>
      </c>
    </row>
    <row r="7" customFormat="false" ht="15" hidden="false" customHeight="false" outlineLevel="0" collapsed="false">
      <c r="A7" s="17" t="s">
        <v>87</v>
      </c>
      <c r="B7" s="26" t="str">
        <f aca="false">'Gochujangh Jerky'!$C$3</f>
        <v>Per 1 kg of meat</v>
      </c>
      <c r="C7" s="26" t="n">
        <f aca="false">COUNTA('Gochujangh Jerky'!$B$9:$B$48)</f>
        <v>11</v>
      </c>
      <c r="D7" s="25" t="n">
        <f aca="false">'Gochujangh Jerky'!$C$50</f>
        <v>316.3</v>
      </c>
      <c r="E7" s="26" t="s">
        <v>180</v>
      </c>
      <c r="F7" s="26" t="n">
        <f aca="false">COUNTIF('Gochujangh Jerky'!$F$9:$F$48,Settings!$B$6)</f>
        <v>9</v>
      </c>
      <c r="G7" s="26" t="n">
        <f aca="false">COUNTIF('Gochujangh Jerky'!$F$9:$F$48,Settings!$B$11)</f>
        <v>2</v>
      </c>
      <c r="H7" s="26" t="n">
        <f aca="false">COUNTIF('Gochujangh Jerky'!$F$9:$F$48,"NEITHER*")</f>
        <v>0</v>
      </c>
    </row>
    <row r="8" customFormat="false" ht="15" hidden="false" customHeight="false" outlineLevel="0" collapsed="false">
      <c r="A8" s="17" t="s">
        <v>96</v>
      </c>
      <c r="B8" s="26" t="str">
        <f aca="false">'Pepper Jerky'!$C$3</f>
        <v>Per 1 kg of meat</v>
      </c>
      <c r="C8" s="26" t="n">
        <f aca="false">COUNTA('Pepper Jerky'!$B$9:$B$48)</f>
        <v>9</v>
      </c>
      <c r="D8" s="25" t="n">
        <f aca="false">'Pepper Jerky'!$C$50</f>
        <v>233.259</v>
      </c>
      <c r="E8" s="26" t="s">
        <v>180</v>
      </c>
      <c r="F8" s="26" t="n">
        <f aca="false">COUNTIF('Pepper Jerky'!$F$9:$F$48,Settings!$B$6)</f>
        <v>6</v>
      </c>
      <c r="G8" s="26" t="n">
        <f aca="false">COUNTIF('Pepper Jerky'!$F$9:$F$48,Settings!$B$11)</f>
        <v>2</v>
      </c>
      <c r="H8" s="26" t="n">
        <f aca="false">COUNTIF('Pepper Jerky'!$F$9:$F$48,"NEITHER*")</f>
        <v>0</v>
      </c>
    </row>
    <row r="9" customFormat="false" ht="15" hidden="false" customHeight="false" outlineLevel="0" collapsed="false">
      <c r="A9" s="17" t="s">
        <v>101</v>
      </c>
      <c r="B9" s="26" t="str">
        <f aca="false">'Karnatka Nati Jerky'!$C$3</f>
        <v>Per 1 kg of meat</v>
      </c>
      <c r="C9" s="26" t="n">
        <f aca="false">COUNTA('Karnatka Nati Jerky'!$B$9:$B$48)</f>
        <v>15</v>
      </c>
      <c r="D9" s="25" t="n">
        <f aca="false">'Karnatka Nati Jerky'!$C$50</f>
        <v>583.759</v>
      </c>
      <c r="E9" s="26" t="s">
        <v>180</v>
      </c>
      <c r="F9" s="26" t="n">
        <f aca="false">COUNTIF('Karnatka Nati Jerky'!$F$9:$F$48,Settings!$B$6)</f>
        <v>12</v>
      </c>
      <c r="G9" s="26" t="n">
        <f aca="false">COUNTIF('Karnatka Nati Jerky'!$F$9:$F$48,Settings!$B$11)</f>
        <v>3</v>
      </c>
      <c r="H9" s="26" t="n">
        <f aca="false">COUNTIF('Karnatka Nati Jerky'!$F$9:$F$48,"NEITHER*")</f>
        <v>0</v>
      </c>
    </row>
    <row r="10" customFormat="false" ht="15" hidden="false" customHeight="false" outlineLevel="0" collapsed="false">
      <c r="A10" s="17" t="s">
        <v>115</v>
      </c>
      <c r="B10" s="26" t="str">
        <f aca="false">'Kerala fry Jerky'!$C$3</f>
        <v>Per 1 kg of meat</v>
      </c>
      <c r="C10" s="26" t="n">
        <f aca="false">COUNTA('Kerala fry Jerky'!$B$9:$B$48)</f>
        <v>17</v>
      </c>
      <c r="D10" s="25" t="n">
        <f aca="false">'Kerala fry Jerky'!$C$50</f>
        <v>466.981</v>
      </c>
      <c r="E10" s="26" t="s">
        <v>180</v>
      </c>
      <c r="F10" s="26" t="n">
        <f aca="false">COUNTIF('Kerala fry Jerky'!$F$9:$F$48,Settings!$B$6)</f>
        <v>15</v>
      </c>
      <c r="G10" s="26" t="n">
        <f aca="false">COUNTIF('Kerala fry Jerky'!$F$9:$F$48,Settings!$B$11)</f>
        <v>2</v>
      </c>
      <c r="H10" s="26" t="n">
        <f aca="false">COUNTIF('Kerala fry Jerky'!$F$9:$F$48,"NEITHER*")</f>
        <v>0</v>
      </c>
    </row>
    <row r="11" customFormat="false" ht="15" hidden="false" customHeight="false" outlineLevel="0" collapsed="false">
      <c r="A11" s="17" t="s">
        <v>120</v>
      </c>
      <c r="B11" s="26" t="str">
        <f aca="false">'Mughlai Jerky'!$C$3</f>
        <v>Per 1 kg of meat</v>
      </c>
      <c r="C11" s="26" t="n">
        <f aca="false">COUNTA('Mughlai Jerky'!$B$9:$B$48)</f>
        <v>12</v>
      </c>
      <c r="D11" s="25" t="n">
        <f aca="false">'Mughlai Jerky'!$C$50</f>
        <v>338.1</v>
      </c>
      <c r="E11" s="26" t="s">
        <v>180</v>
      </c>
      <c r="F11" s="26" t="n">
        <f aca="false">COUNTIF('Mughlai Jerky'!$F$9:$F$48,Settings!$B$6)</f>
        <v>11</v>
      </c>
      <c r="G11" s="26" t="n">
        <f aca="false">COUNTIF('Mughlai Jerky'!$F$9:$F$48,Settings!$B$11)</f>
        <v>1</v>
      </c>
      <c r="H11" s="26" t="n">
        <f aca="false">COUNTIF('Mughlai Jerky'!$F$9:$F$48,"NEITHER*")</f>
        <v>0</v>
      </c>
    </row>
    <row r="12" customFormat="false" ht="15" hidden="false" customHeight="false" outlineLevel="0" collapsed="false">
      <c r="A12" s="17" t="s">
        <v>132</v>
      </c>
      <c r="B12" s="26" t="str">
        <f aca="false">'Masala Jerky'!$C$3</f>
        <v>Per 1 kg of meat</v>
      </c>
      <c r="C12" s="26" t="n">
        <f aca="false">COUNTA('Masala Jerky'!$B$9:$B$48)</f>
        <v>19</v>
      </c>
      <c r="D12" s="25" t="n">
        <f aca="false">'Masala Jerky'!$C$50</f>
        <v>416.854</v>
      </c>
      <c r="E12" s="26" t="s">
        <v>180</v>
      </c>
      <c r="F12" s="26" t="n">
        <f aca="false">COUNTIF('Masala Jerky'!$F$9:$F$48,Settings!$B$6)</f>
        <v>16</v>
      </c>
      <c r="G12" s="26" t="n">
        <f aca="false">COUNTIF('Masala Jerky'!$F$9:$F$48,Settings!$B$11)</f>
        <v>3</v>
      </c>
      <c r="H12" s="26" t="n">
        <f aca="false">COUNTIF('Masala Jerky'!$F$9:$F$48,"NEITHER*")</f>
        <v>0</v>
      </c>
    </row>
    <row r="13" customFormat="false" ht="15" hidden="false" customHeight="false" outlineLevel="0" collapsed="false">
      <c r="A13" s="17" t="s">
        <v>152</v>
      </c>
      <c r="B13" s="26" t="str">
        <f aca="false">'Piri Piri Masala'!$C$3</f>
        <v>Fixed batch</v>
      </c>
      <c r="C13" s="26" t="n">
        <f aca="false">COUNTA('Piri Piri Masala'!$B$9:$B$48)</f>
        <v>10</v>
      </c>
      <c r="D13" s="25" t="n">
        <f aca="false">'Piri Piri Masala'!$C$50</f>
        <v>2004</v>
      </c>
      <c r="E13" s="26" t="s">
        <v>181</v>
      </c>
      <c r="F13" s="26" t="n">
        <f aca="false">COUNTIF('Piri Piri Masala'!$F$9:$F$48,Settings!$B$6)</f>
        <v>10</v>
      </c>
      <c r="G13" s="26" t="n">
        <f aca="false">COUNTIF('Piri Piri Masala'!$F$9:$F$48,Settings!$B$11)</f>
        <v>0</v>
      </c>
      <c r="H13" s="26" t="n">
        <f aca="false">COUNTIF('Piri Piri Masala'!$F$9:$F$48,"NEITHER*")</f>
        <v>0</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3" style="0" width="10"/>
  </cols>
  <sheetData>
    <row r="1" customFormat="false" ht="17.35" hidden="false" customHeight="false" outlineLevel="0" collapsed="false">
      <c r="A1" s="1" t="s">
        <v>182</v>
      </c>
      <c r="B1" s="1"/>
      <c r="C1" s="1"/>
      <c r="D1" s="1"/>
      <c r="E1" s="1"/>
      <c r="F1" s="1"/>
      <c r="G1" s="1"/>
      <c r="H1" s="1"/>
    </row>
    <row r="2" customFormat="false" ht="15" hidden="false" customHeight="false" outlineLevel="0" collapsed="false">
      <c r="A2" s="2" t="s">
        <v>183</v>
      </c>
      <c r="B2" s="2"/>
      <c r="C2" s="2"/>
      <c r="D2" s="2"/>
      <c r="E2" s="2"/>
      <c r="F2" s="2"/>
      <c r="G2" s="2"/>
      <c r="H2" s="2"/>
    </row>
    <row r="4" customFormat="false" ht="15" hidden="false" customHeight="false" outlineLevel="0" collapsed="false">
      <c r="A4" s="34" t="s">
        <v>59</v>
      </c>
    </row>
    <row r="5" customFormat="false" ht="15" hidden="false" customHeight="false" outlineLevel="0" collapsed="false">
      <c r="A5" s="26" t="s">
        <v>184</v>
      </c>
      <c r="C5" s="35" t="n">
        <f aca="false">COUNTIF('Vinegar Bath'!$B$9:$B$48,$A5) + COUNTIF('Teriyaki Jerky'!$B$9:$B$48,$A5) + COUNTIF('Gochujangh Jerky'!$B$9:$B$48,$A5) + COUNTIF('Pepper Jerky'!$B$9:$B$48,$A5) + COUNTIF('Karnatka Nati Jerky'!$B$9:$B$48,$A5) + COUNTIF('Kerala fry Jerky'!$B$9:$B$48,$A5) + COUNTIF('Mughlai Jerky'!$B$9:$B$48,$A5) + COUNTIF('Masala Jerky'!$B$9:$B$48,$A5) + COUNTIF('Piri Piri Masala'!$B$9:$B$48,$A5)</f>
        <v>1</v>
      </c>
    </row>
    <row r="6" customFormat="false" ht="15" hidden="false" customHeight="false" outlineLevel="0" collapsed="false">
      <c r="A6" s="26" t="s">
        <v>185</v>
      </c>
      <c r="C6" s="35" t="n">
        <f aca="false">COUNTIF('Vinegar Bath'!$B$9:$B$48,$A6) + COUNTIF('Teriyaki Jerky'!$B$9:$B$48,$A6) + COUNTIF('Gochujangh Jerky'!$B$9:$B$48,$A6) + COUNTIF('Pepper Jerky'!$B$9:$B$48,$A6) + COUNTIF('Karnatka Nati Jerky'!$B$9:$B$48,$A6) + COUNTIF('Kerala fry Jerky'!$B$9:$B$48,$A6) + COUNTIF('Mughlai Jerky'!$B$9:$B$48,$A6) + COUNTIF('Masala Jerky'!$B$9:$B$48,$A6) + COUNTIF('Piri Piri Masala'!$B$9:$B$48,$A6)</f>
        <v>0</v>
      </c>
    </row>
    <row r="7" customFormat="false" ht="15" hidden="false" customHeight="false" outlineLevel="0" collapsed="false">
      <c r="A7" s="26" t="s">
        <v>186</v>
      </c>
      <c r="C7" s="35" t="n">
        <f aca="false">COUNTIF('Vinegar Bath'!$B$9:$B$48,$A7) + COUNTIF('Teriyaki Jerky'!$B$9:$B$48,$A7) + COUNTIF('Gochujangh Jerky'!$B$9:$B$48,$A7) + COUNTIF('Pepper Jerky'!$B$9:$B$48,$A7) + COUNTIF('Karnatka Nati Jerky'!$B$9:$B$48,$A7) + COUNTIF('Kerala fry Jerky'!$B$9:$B$48,$A7) + COUNTIF('Mughlai Jerky'!$B$9:$B$48,$A7) + COUNTIF('Masala Jerky'!$B$9:$B$48,$A7) + COUNTIF('Piri Piri Masala'!$B$9:$B$48,$A7)</f>
        <v>4</v>
      </c>
    </row>
    <row r="8" customFormat="false" ht="15" hidden="false" customHeight="false" outlineLevel="0" collapsed="false">
      <c r="A8" s="26" t="s">
        <v>187</v>
      </c>
      <c r="C8" s="35" t="n">
        <f aca="false">COUNTIF('Vinegar Bath'!$B$9:$B$48,$A8) + COUNTIF('Teriyaki Jerky'!$B$9:$B$48,$A8) + COUNTIF('Gochujangh Jerky'!$B$9:$B$48,$A8) + COUNTIF('Pepper Jerky'!$B$9:$B$48,$A8) + COUNTIF('Karnatka Nati Jerky'!$B$9:$B$48,$A8) + COUNTIF('Kerala fry Jerky'!$B$9:$B$48,$A8) + COUNTIF('Mughlai Jerky'!$B$9:$B$48,$A8) + COUNTIF('Masala Jerky'!$B$9:$B$48,$A8) + COUNTIF('Piri Piri Masala'!$B$9:$B$48,$A8)</f>
        <v>0</v>
      </c>
    </row>
    <row r="9" customFormat="false" ht="15" hidden="false" customHeight="false" outlineLevel="0" collapsed="false">
      <c r="A9" s="26" t="s">
        <v>188</v>
      </c>
      <c r="C9" s="35" t="n">
        <f aca="false">COUNTIF('Vinegar Bath'!$B$9:$B$48,$A9) + COUNTIF('Teriyaki Jerky'!$B$9:$B$48,$A9) + COUNTIF('Gochujangh Jerky'!$B$9:$B$48,$A9) + COUNTIF('Pepper Jerky'!$B$9:$B$48,$A9) + COUNTIF('Karnatka Nati Jerky'!$B$9:$B$48,$A9) + COUNTIF('Kerala fry Jerky'!$B$9:$B$48,$A9) + COUNTIF('Mughlai Jerky'!$B$9:$B$48,$A9) + COUNTIF('Masala Jerky'!$B$9:$B$48,$A9) + COUNTIF('Piri Piri Masala'!$B$9:$B$48,$A9)</f>
        <v>0</v>
      </c>
    </row>
    <row r="10" customFormat="false" ht="15" hidden="false" customHeight="false" outlineLevel="0" collapsed="false">
      <c r="A10" s="26" t="s">
        <v>189</v>
      </c>
      <c r="C10" s="35" t="n">
        <f aca="false">COUNTIF('Vinegar Bath'!$B$9:$B$48,$A10) + COUNTIF('Teriyaki Jerky'!$B$9:$B$48,$A10) + COUNTIF('Gochujangh Jerky'!$B$9:$B$48,$A10) + COUNTIF('Pepper Jerky'!$B$9:$B$48,$A10) + COUNTIF('Karnatka Nati Jerky'!$B$9:$B$48,$A10) + COUNTIF('Kerala fry Jerky'!$B$9:$B$48,$A10) + COUNTIF('Mughlai Jerky'!$B$9:$B$48,$A10) + COUNTIF('Masala Jerky'!$B$9:$B$48,$A10) + COUNTIF('Piri Piri Masala'!$B$9:$B$48,$A10)</f>
        <v>1</v>
      </c>
    </row>
    <row r="11" customFormat="false" ht="15" hidden="false" customHeight="false" outlineLevel="0" collapsed="false">
      <c r="A11" s="26" t="s">
        <v>190</v>
      </c>
      <c r="C11" s="35" t="n">
        <f aca="false">COUNTIF('Vinegar Bath'!$B$9:$B$48,$A11) + COUNTIF('Teriyaki Jerky'!$B$9:$B$48,$A11) + COUNTIF('Gochujangh Jerky'!$B$9:$B$48,$A11) + COUNTIF('Pepper Jerky'!$B$9:$B$48,$A11) + COUNTIF('Karnatka Nati Jerky'!$B$9:$B$48,$A11) + COUNTIF('Kerala fry Jerky'!$B$9:$B$48,$A11) + COUNTIF('Mughlai Jerky'!$B$9:$B$48,$A11) + COUNTIF('Masala Jerky'!$B$9:$B$48,$A11) + COUNTIF('Piri Piri Masala'!$B$9:$B$48,$A11)</f>
        <v>2</v>
      </c>
    </row>
    <row r="12" customFormat="false" ht="15" hidden="false" customHeight="false" outlineLevel="0" collapsed="false">
      <c r="A12" s="26" t="s">
        <v>191</v>
      </c>
      <c r="C12" s="35" t="n">
        <f aca="false">COUNTIF('Vinegar Bath'!$B$9:$B$48,$A12) + COUNTIF('Teriyaki Jerky'!$B$9:$B$48,$A12) + COUNTIF('Gochujangh Jerky'!$B$9:$B$48,$A12) + COUNTIF('Pepper Jerky'!$B$9:$B$48,$A12) + COUNTIF('Karnatka Nati Jerky'!$B$9:$B$48,$A12) + COUNTIF('Kerala fry Jerky'!$B$9:$B$48,$A12) + COUNTIF('Mughlai Jerky'!$B$9:$B$48,$A12) + COUNTIF('Masala Jerky'!$B$9:$B$48,$A12) + COUNTIF('Piri Piri Masala'!$B$9:$B$48,$A12)</f>
        <v>0</v>
      </c>
    </row>
    <row r="13" customFormat="false" ht="15" hidden="false" customHeight="false" outlineLevel="0" collapsed="false">
      <c r="A13" s="26" t="s">
        <v>192</v>
      </c>
      <c r="C13" s="35" t="n">
        <f aca="false">COUNTIF('Vinegar Bath'!$B$9:$B$48,$A13) + COUNTIF('Teriyaki Jerky'!$B$9:$B$48,$A13) + COUNTIF('Gochujangh Jerky'!$B$9:$B$48,$A13) + COUNTIF('Pepper Jerky'!$B$9:$B$48,$A13) + COUNTIF('Karnatka Nati Jerky'!$B$9:$B$48,$A13) + COUNTIF('Kerala fry Jerky'!$B$9:$B$48,$A13) + COUNTIF('Mughlai Jerky'!$B$9:$B$48,$A13) + COUNTIF('Masala Jerky'!$B$9:$B$48,$A13) + COUNTIF('Piri Piri Masala'!$B$9:$B$48,$A13)</f>
        <v>1</v>
      </c>
    </row>
    <row r="14" customFormat="false" ht="15" hidden="false" customHeight="false" outlineLevel="0" collapsed="false">
      <c r="A14" s="26" t="s">
        <v>193</v>
      </c>
      <c r="C14" s="35" t="n">
        <f aca="false">COUNTIF('Vinegar Bath'!$B$9:$B$48,$A14) + COUNTIF('Teriyaki Jerky'!$B$9:$B$48,$A14) + COUNTIF('Gochujangh Jerky'!$B$9:$B$48,$A14) + COUNTIF('Pepper Jerky'!$B$9:$B$48,$A14) + COUNTIF('Karnatka Nati Jerky'!$B$9:$B$48,$A14) + COUNTIF('Kerala fry Jerky'!$B$9:$B$48,$A14) + COUNTIF('Mughlai Jerky'!$B$9:$B$48,$A14) + COUNTIF('Masala Jerky'!$B$9:$B$48,$A14) + COUNTIF('Piri Piri Masala'!$B$9:$B$48,$A14)</f>
        <v>0</v>
      </c>
    </row>
    <row r="15" customFormat="false" ht="15" hidden="false" customHeight="false" outlineLevel="0" collapsed="false">
      <c r="A15" s="26" t="s">
        <v>194</v>
      </c>
      <c r="C15" s="35" t="n">
        <f aca="false">COUNTIF('Vinegar Bath'!$B$9:$B$48,$A15) + COUNTIF('Teriyaki Jerky'!$B$9:$B$48,$A15) + COUNTIF('Gochujangh Jerky'!$B$9:$B$48,$A15) + COUNTIF('Pepper Jerky'!$B$9:$B$48,$A15) + COUNTIF('Karnatka Nati Jerky'!$B$9:$B$48,$A15) + COUNTIF('Kerala fry Jerky'!$B$9:$B$48,$A15) + COUNTIF('Mughlai Jerky'!$B$9:$B$48,$A15) + COUNTIF('Masala Jerky'!$B$9:$B$48,$A15) + COUNTIF('Piri Piri Masala'!$B$9:$B$48,$A15)</f>
        <v>0</v>
      </c>
    </row>
    <row r="16" customFormat="false" ht="15" hidden="false" customHeight="false" outlineLevel="0" collapsed="false">
      <c r="A16" s="26" t="s">
        <v>195</v>
      </c>
      <c r="C16" s="35" t="n">
        <f aca="false">COUNTIF('Vinegar Bath'!$B$9:$B$48,$A16) + COUNTIF('Teriyaki Jerky'!$B$9:$B$48,$A16) + COUNTIF('Gochujangh Jerky'!$B$9:$B$48,$A16) + COUNTIF('Pepper Jerky'!$B$9:$B$48,$A16) + COUNTIF('Karnatka Nati Jerky'!$B$9:$B$48,$A16) + COUNTIF('Kerala fry Jerky'!$B$9:$B$48,$A16) + COUNTIF('Mughlai Jerky'!$B$9:$B$48,$A16) + COUNTIF('Masala Jerky'!$B$9:$B$48,$A16) + COUNTIF('Piri Piri Masala'!$B$9:$B$48,$A16)</f>
        <v>0</v>
      </c>
    </row>
    <row r="17" customFormat="false" ht="15" hidden="false" customHeight="false" outlineLevel="0" collapsed="false">
      <c r="A17" s="26" t="s">
        <v>196</v>
      </c>
      <c r="C17" s="35" t="n">
        <f aca="false">COUNTIF('Vinegar Bath'!$B$9:$B$48,$A17) + COUNTIF('Teriyaki Jerky'!$B$9:$B$48,$A17) + COUNTIF('Gochujangh Jerky'!$B$9:$B$48,$A17) + COUNTIF('Pepper Jerky'!$B$9:$B$48,$A17) + COUNTIF('Karnatka Nati Jerky'!$B$9:$B$48,$A17) + COUNTIF('Kerala fry Jerky'!$B$9:$B$48,$A17) + COUNTIF('Mughlai Jerky'!$B$9:$B$48,$A17) + COUNTIF('Masala Jerky'!$B$9:$B$48,$A17) + COUNTIF('Piri Piri Masala'!$B$9:$B$48,$A17)</f>
        <v>0</v>
      </c>
    </row>
    <row r="18" customFormat="false" ht="15" hidden="false" customHeight="false" outlineLevel="0" collapsed="false">
      <c r="A18" s="26" t="s">
        <v>197</v>
      </c>
      <c r="C18" s="35" t="n">
        <f aca="false">COUNTIF('Vinegar Bath'!$B$9:$B$48,$A18) + COUNTIF('Teriyaki Jerky'!$B$9:$B$48,$A18) + COUNTIF('Gochujangh Jerky'!$B$9:$B$48,$A18) + COUNTIF('Pepper Jerky'!$B$9:$B$48,$A18) + COUNTIF('Karnatka Nati Jerky'!$B$9:$B$48,$A18) + COUNTIF('Kerala fry Jerky'!$B$9:$B$48,$A18) + COUNTIF('Mughlai Jerky'!$B$9:$B$48,$A18) + COUNTIF('Masala Jerky'!$B$9:$B$48,$A18) + COUNTIF('Piri Piri Masala'!$B$9:$B$48,$A18)</f>
        <v>1</v>
      </c>
    </row>
    <row r="19" customFormat="false" ht="15" hidden="false" customHeight="false" outlineLevel="0" collapsed="false">
      <c r="A19" s="26" t="s">
        <v>198</v>
      </c>
      <c r="C19" s="35" t="n">
        <f aca="false">COUNTIF('Vinegar Bath'!$B$9:$B$48,$A19) + COUNTIF('Teriyaki Jerky'!$B$9:$B$48,$A19) + COUNTIF('Gochujangh Jerky'!$B$9:$B$48,$A19) + COUNTIF('Pepper Jerky'!$B$9:$B$48,$A19) + COUNTIF('Karnatka Nati Jerky'!$B$9:$B$48,$A19) + COUNTIF('Kerala fry Jerky'!$B$9:$B$48,$A19) + COUNTIF('Mughlai Jerky'!$B$9:$B$48,$A19) + COUNTIF('Masala Jerky'!$B$9:$B$48,$A19) + COUNTIF('Piri Piri Masala'!$B$9:$B$48,$A19)</f>
        <v>0</v>
      </c>
    </row>
    <row r="20" customFormat="false" ht="15" hidden="false" customHeight="false" outlineLevel="0" collapsed="false">
      <c r="A20" s="26" t="s">
        <v>199</v>
      </c>
      <c r="C20" s="35" t="n">
        <f aca="false">COUNTIF('Vinegar Bath'!$B$9:$B$48,$A20) + COUNTIF('Teriyaki Jerky'!$B$9:$B$48,$A20) + COUNTIF('Gochujangh Jerky'!$B$9:$B$48,$A20) + COUNTIF('Pepper Jerky'!$B$9:$B$48,$A20) + COUNTIF('Karnatka Nati Jerky'!$B$9:$B$48,$A20) + COUNTIF('Kerala fry Jerky'!$B$9:$B$48,$A20) + COUNTIF('Mughlai Jerky'!$B$9:$B$48,$A20) + COUNTIF('Masala Jerky'!$B$9:$B$48,$A20) + COUNTIF('Piri Piri Masala'!$B$9:$B$48,$A20)</f>
        <v>2</v>
      </c>
    </row>
    <row r="21" customFormat="false" ht="15" hidden="false" customHeight="false" outlineLevel="0" collapsed="false">
      <c r="A21" s="26" t="s">
        <v>200</v>
      </c>
      <c r="C21" s="35" t="n">
        <f aca="false">COUNTIF('Vinegar Bath'!$B$9:$B$48,$A21) + COUNTIF('Teriyaki Jerky'!$B$9:$B$48,$A21) + COUNTIF('Gochujangh Jerky'!$B$9:$B$48,$A21) + COUNTIF('Pepper Jerky'!$B$9:$B$48,$A21) + COUNTIF('Karnatka Nati Jerky'!$B$9:$B$48,$A21) + COUNTIF('Kerala fry Jerky'!$B$9:$B$48,$A21) + COUNTIF('Mughlai Jerky'!$B$9:$B$48,$A21) + COUNTIF('Masala Jerky'!$B$9:$B$48,$A21) + COUNTIF('Piri Piri Masala'!$B$9:$B$48,$A21)</f>
        <v>2</v>
      </c>
    </row>
    <row r="22" customFormat="false" ht="15" hidden="false" customHeight="false" outlineLevel="0" collapsed="false">
      <c r="A22" s="26" t="s">
        <v>201</v>
      </c>
      <c r="C22" s="35" t="n">
        <f aca="false">COUNTIF('Vinegar Bath'!$B$9:$B$48,$A22) + COUNTIF('Teriyaki Jerky'!$B$9:$B$48,$A22) + COUNTIF('Gochujangh Jerky'!$B$9:$B$48,$A22) + COUNTIF('Pepper Jerky'!$B$9:$B$48,$A22) + COUNTIF('Karnatka Nati Jerky'!$B$9:$B$48,$A22) + COUNTIF('Kerala fry Jerky'!$B$9:$B$48,$A22) + COUNTIF('Mughlai Jerky'!$B$9:$B$48,$A22) + COUNTIF('Masala Jerky'!$B$9:$B$48,$A22) + COUNTIF('Piri Piri Masala'!$B$9:$B$48,$A22)</f>
        <v>0</v>
      </c>
    </row>
    <row r="23" customFormat="false" ht="15" hidden="false" customHeight="false" outlineLevel="0" collapsed="false">
      <c r="A23" s="26" t="s">
        <v>202</v>
      </c>
      <c r="C23" s="35" t="n">
        <f aca="false">COUNTIF('Vinegar Bath'!$B$9:$B$48,$A23) + COUNTIF('Teriyaki Jerky'!$B$9:$B$48,$A23) + COUNTIF('Gochujangh Jerky'!$B$9:$B$48,$A23) + COUNTIF('Pepper Jerky'!$B$9:$B$48,$A23) + COUNTIF('Karnatka Nati Jerky'!$B$9:$B$48,$A23) + COUNTIF('Kerala fry Jerky'!$B$9:$B$48,$A23) + COUNTIF('Mughlai Jerky'!$B$9:$B$48,$A23) + COUNTIF('Masala Jerky'!$B$9:$B$48,$A23) + COUNTIF('Piri Piri Masala'!$B$9:$B$48,$A23)</f>
        <v>7</v>
      </c>
    </row>
    <row r="24" customFormat="false" ht="15" hidden="false" customHeight="false" outlineLevel="0" collapsed="false">
      <c r="A24" s="26" t="s">
        <v>203</v>
      </c>
      <c r="C24" s="35" t="n">
        <f aca="false">COUNTIF('Vinegar Bath'!$B$9:$B$48,$A24) + COUNTIF('Teriyaki Jerky'!$B$9:$B$48,$A24) + COUNTIF('Gochujangh Jerky'!$B$9:$B$48,$A24) + COUNTIF('Pepper Jerky'!$B$9:$B$48,$A24) + COUNTIF('Karnatka Nati Jerky'!$B$9:$B$48,$A24) + COUNTIF('Kerala fry Jerky'!$B$9:$B$48,$A24) + COUNTIF('Mughlai Jerky'!$B$9:$B$48,$A24) + COUNTIF('Masala Jerky'!$B$9:$B$48,$A24) + COUNTIF('Piri Piri Masala'!$B$9:$B$48,$A24)</f>
        <v>0</v>
      </c>
    </row>
    <row r="25" customFormat="false" ht="15" hidden="false" customHeight="false" outlineLevel="0" collapsed="false">
      <c r="A25" s="26" t="s">
        <v>204</v>
      </c>
      <c r="C25" s="35" t="n">
        <f aca="false">COUNTIF('Vinegar Bath'!$B$9:$B$48,$A25) + COUNTIF('Teriyaki Jerky'!$B$9:$B$48,$A25) + COUNTIF('Gochujangh Jerky'!$B$9:$B$48,$A25) + COUNTIF('Pepper Jerky'!$B$9:$B$48,$A25) + COUNTIF('Karnatka Nati Jerky'!$B$9:$B$48,$A25) + COUNTIF('Kerala fry Jerky'!$B$9:$B$48,$A25) + COUNTIF('Mughlai Jerky'!$B$9:$B$48,$A25) + COUNTIF('Masala Jerky'!$B$9:$B$48,$A25) + COUNTIF('Piri Piri Masala'!$B$9:$B$48,$A25)</f>
        <v>0</v>
      </c>
    </row>
    <row r="26" customFormat="false" ht="15" hidden="false" customHeight="false" outlineLevel="0" collapsed="false">
      <c r="A26" s="26" t="s">
        <v>205</v>
      </c>
      <c r="C26" s="35" t="n">
        <f aca="false">COUNTIF('Vinegar Bath'!$B$9:$B$48,$A26) + COUNTIF('Teriyaki Jerky'!$B$9:$B$48,$A26) + COUNTIF('Gochujangh Jerky'!$B$9:$B$48,$A26) + COUNTIF('Pepper Jerky'!$B$9:$B$48,$A26) + COUNTIF('Karnatka Nati Jerky'!$B$9:$B$48,$A26) + COUNTIF('Kerala fry Jerky'!$B$9:$B$48,$A26) + COUNTIF('Mughlai Jerky'!$B$9:$B$48,$A26) + COUNTIF('Masala Jerky'!$B$9:$B$48,$A26) + COUNTIF('Piri Piri Masala'!$B$9:$B$48,$A26)</f>
        <v>1</v>
      </c>
    </row>
    <row r="27" customFormat="false" ht="15" hidden="false" customHeight="false" outlineLevel="0" collapsed="false">
      <c r="A27" s="26" t="s">
        <v>124</v>
      </c>
      <c r="C27" s="35" t="n">
        <f aca="false">COUNTIF('Vinegar Bath'!$B$9:$B$48,$A27) + COUNTIF('Teriyaki Jerky'!$B$9:$B$48,$A27) + COUNTIF('Gochujangh Jerky'!$B$9:$B$48,$A27) + COUNTIF('Pepper Jerky'!$B$9:$B$48,$A27) + COUNTIF('Karnatka Nati Jerky'!$B$9:$B$48,$A27) + COUNTIF('Kerala fry Jerky'!$B$9:$B$48,$A27) + COUNTIF('Mughlai Jerky'!$B$9:$B$48,$A27) + COUNTIF('Masala Jerky'!$B$9:$B$48,$A27) + COUNTIF('Piri Piri Masala'!$B$9:$B$48,$A27)</f>
        <v>2</v>
      </c>
    </row>
    <row r="28" customFormat="false" ht="15" hidden="false" customHeight="false" outlineLevel="0" collapsed="false">
      <c r="A28" s="26" t="s">
        <v>206</v>
      </c>
      <c r="C28" s="35" t="n">
        <f aca="false">COUNTIF('Vinegar Bath'!$B$9:$B$48,$A28) + COUNTIF('Teriyaki Jerky'!$B$9:$B$48,$A28) + COUNTIF('Gochujangh Jerky'!$B$9:$B$48,$A28) + COUNTIF('Pepper Jerky'!$B$9:$B$48,$A28) + COUNTIF('Karnatka Nati Jerky'!$B$9:$B$48,$A28) + COUNTIF('Kerala fry Jerky'!$B$9:$B$48,$A28) + COUNTIF('Mughlai Jerky'!$B$9:$B$48,$A28) + COUNTIF('Masala Jerky'!$B$9:$B$48,$A28) + COUNTIF('Piri Piri Masala'!$B$9:$B$48,$A28)</f>
        <v>0</v>
      </c>
    </row>
    <row r="29" customFormat="false" ht="15" hidden="false" customHeight="false" outlineLevel="0" collapsed="false">
      <c r="A29" s="26" t="s">
        <v>207</v>
      </c>
      <c r="C29" s="35" t="n">
        <f aca="false">COUNTIF('Vinegar Bath'!$B$9:$B$48,$A29) + COUNTIF('Teriyaki Jerky'!$B$9:$B$48,$A29) + COUNTIF('Gochujangh Jerky'!$B$9:$B$48,$A29) + COUNTIF('Pepper Jerky'!$B$9:$B$48,$A29) + COUNTIF('Karnatka Nati Jerky'!$B$9:$B$48,$A29) + COUNTIF('Kerala fry Jerky'!$B$9:$B$48,$A29) + COUNTIF('Mughlai Jerky'!$B$9:$B$48,$A29) + COUNTIF('Masala Jerky'!$B$9:$B$48,$A29) + COUNTIF('Piri Piri Masala'!$B$9:$B$48,$A29)</f>
        <v>5</v>
      </c>
    </row>
    <row r="30" customFormat="false" ht="15" hidden="false" customHeight="false" outlineLevel="0" collapsed="false">
      <c r="A30" s="26" t="s">
        <v>208</v>
      </c>
      <c r="C30" s="35" t="n">
        <f aca="false">COUNTIF('Vinegar Bath'!$B$9:$B$48,$A30) + COUNTIF('Teriyaki Jerky'!$B$9:$B$48,$A30) + COUNTIF('Gochujangh Jerky'!$B$9:$B$48,$A30) + COUNTIF('Pepper Jerky'!$B$9:$B$48,$A30) + COUNTIF('Karnatka Nati Jerky'!$B$9:$B$48,$A30) + COUNTIF('Kerala fry Jerky'!$B$9:$B$48,$A30) + COUNTIF('Mughlai Jerky'!$B$9:$B$48,$A30) + COUNTIF('Masala Jerky'!$B$9:$B$48,$A30) + COUNTIF('Piri Piri Masala'!$B$9:$B$48,$A30)</f>
        <v>0</v>
      </c>
    </row>
    <row r="31" customFormat="false" ht="15" hidden="false" customHeight="false" outlineLevel="0" collapsed="false">
      <c r="A31" s="26" t="s">
        <v>209</v>
      </c>
      <c r="C31" s="35" t="n">
        <f aca="false">COUNTIF('Vinegar Bath'!$B$9:$B$48,$A31) + COUNTIF('Teriyaki Jerky'!$B$9:$B$48,$A31) + COUNTIF('Gochujangh Jerky'!$B$9:$B$48,$A31) + COUNTIF('Pepper Jerky'!$B$9:$B$48,$A31) + COUNTIF('Karnatka Nati Jerky'!$B$9:$B$48,$A31) + COUNTIF('Kerala fry Jerky'!$B$9:$B$48,$A31) + COUNTIF('Mughlai Jerky'!$B$9:$B$48,$A31) + COUNTIF('Masala Jerky'!$B$9:$B$48,$A31) + COUNTIF('Piri Piri Masala'!$B$9:$B$48,$A31)</f>
        <v>2</v>
      </c>
    </row>
    <row r="32" customFormat="false" ht="15" hidden="false" customHeight="false" outlineLevel="0" collapsed="false">
      <c r="A32" s="26" t="s">
        <v>210</v>
      </c>
      <c r="C32" s="35" t="n">
        <f aca="false">COUNTIF('Vinegar Bath'!$B$9:$B$48,$A32) + COUNTIF('Teriyaki Jerky'!$B$9:$B$48,$A32) + COUNTIF('Gochujangh Jerky'!$B$9:$B$48,$A32) + COUNTIF('Pepper Jerky'!$B$9:$B$48,$A32) + COUNTIF('Karnatka Nati Jerky'!$B$9:$B$48,$A32) + COUNTIF('Kerala fry Jerky'!$B$9:$B$48,$A32) + COUNTIF('Mughlai Jerky'!$B$9:$B$48,$A32) + COUNTIF('Masala Jerky'!$B$9:$B$48,$A32) + COUNTIF('Piri Piri Masala'!$B$9:$B$48,$A32)</f>
        <v>0</v>
      </c>
    </row>
    <row r="33" customFormat="false" ht="15" hidden="false" customHeight="false" outlineLevel="0" collapsed="false">
      <c r="A33" s="26" t="s">
        <v>211</v>
      </c>
      <c r="C33" s="35" t="n">
        <f aca="false">COUNTIF('Vinegar Bath'!$B$9:$B$48,$A33) + COUNTIF('Teriyaki Jerky'!$B$9:$B$48,$A33) + COUNTIF('Gochujangh Jerky'!$B$9:$B$48,$A33) + COUNTIF('Pepper Jerky'!$B$9:$B$48,$A33) + COUNTIF('Karnatka Nati Jerky'!$B$9:$B$48,$A33) + COUNTIF('Kerala fry Jerky'!$B$9:$B$48,$A33) + COUNTIF('Mughlai Jerky'!$B$9:$B$48,$A33) + COUNTIF('Masala Jerky'!$B$9:$B$48,$A33) + COUNTIF('Piri Piri Masala'!$B$9:$B$48,$A33)</f>
        <v>0</v>
      </c>
    </row>
    <row r="34" customFormat="false" ht="15" hidden="false" customHeight="false" outlineLevel="0" collapsed="false">
      <c r="A34" s="26" t="s">
        <v>212</v>
      </c>
      <c r="C34" s="35" t="n">
        <f aca="false">COUNTIF('Vinegar Bath'!$B$9:$B$48,$A34) + COUNTIF('Teriyaki Jerky'!$B$9:$B$48,$A34) + COUNTIF('Gochujangh Jerky'!$B$9:$B$48,$A34) + COUNTIF('Pepper Jerky'!$B$9:$B$48,$A34) + COUNTIF('Karnatka Nati Jerky'!$B$9:$B$48,$A34) + COUNTIF('Kerala fry Jerky'!$B$9:$B$48,$A34) + COUNTIF('Mughlai Jerky'!$B$9:$B$48,$A34) + COUNTIF('Masala Jerky'!$B$9:$B$48,$A34) + COUNTIF('Piri Piri Masala'!$B$9:$B$48,$A34)</f>
        <v>0</v>
      </c>
    </row>
    <row r="35" customFormat="false" ht="15" hidden="false" customHeight="false" outlineLevel="0" collapsed="false">
      <c r="A35" s="26" t="s">
        <v>213</v>
      </c>
      <c r="C35" s="35" t="n">
        <f aca="false">COUNTIF('Vinegar Bath'!$B$9:$B$48,$A35) + COUNTIF('Teriyaki Jerky'!$B$9:$B$48,$A35) + COUNTIF('Gochujangh Jerky'!$B$9:$B$48,$A35) + COUNTIF('Pepper Jerky'!$B$9:$B$48,$A35) + COUNTIF('Karnatka Nati Jerky'!$B$9:$B$48,$A35) + COUNTIF('Kerala fry Jerky'!$B$9:$B$48,$A35) + COUNTIF('Mughlai Jerky'!$B$9:$B$48,$A35) + COUNTIF('Masala Jerky'!$B$9:$B$48,$A35) + COUNTIF('Piri Piri Masala'!$B$9:$B$48,$A35)</f>
        <v>0</v>
      </c>
    </row>
    <row r="36" customFormat="false" ht="15" hidden="false" customHeight="false" outlineLevel="0" collapsed="false">
      <c r="A36" s="26" t="s">
        <v>81</v>
      </c>
      <c r="C36" s="35" t="n">
        <f aca="false">COUNTIF('Vinegar Bath'!$B$9:$B$48,$A36) + COUNTIF('Teriyaki Jerky'!$B$9:$B$48,$A36) + COUNTIF('Gochujangh Jerky'!$B$9:$B$48,$A36) + COUNTIF('Pepper Jerky'!$B$9:$B$48,$A36) + COUNTIF('Karnatka Nati Jerky'!$B$9:$B$48,$A36) + COUNTIF('Kerala fry Jerky'!$B$9:$B$48,$A36) + COUNTIF('Mughlai Jerky'!$B$9:$B$48,$A36) + COUNTIF('Masala Jerky'!$B$9:$B$48,$A36) + COUNTIF('Piri Piri Masala'!$B$9:$B$48,$A36)</f>
        <v>7</v>
      </c>
    </row>
    <row r="37" customFormat="false" ht="15" hidden="false" customHeight="false" outlineLevel="0" collapsed="false">
      <c r="A37" s="26" t="s">
        <v>214</v>
      </c>
      <c r="C37" s="35" t="n">
        <f aca="false">COUNTIF('Vinegar Bath'!$B$9:$B$48,$A37) + COUNTIF('Teriyaki Jerky'!$B$9:$B$48,$A37) + COUNTIF('Gochujangh Jerky'!$B$9:$B$48,$A37) + COUNTIF('Pepper Jerky'!$B$9:$B$48,$A37) + COUNTIF('Karnatka Nati Jerky'!$B$9:$B$48,$A37) + COUNTIF('Kerala fry Jerky'!$B$9:$B$48,$A37) + COUNTIF('Mughlai Jerky'!$B$9:$B$48,$A37) + COUNTIF('Masala Jerky'!$B$9:$B$48,$A37) + COUNTIF('Piri Piri Masala'!$B$9:$B$48,$A37)</f>
        <v>2</v>
      </c>
    </row>
    <row r="38" customFormat="false" ht="15" hidden="false" customHeight="false" outlineLevel="0" collapsed="false">
      <c r="A38" s="26" t="s">
        <v>215</v>
      </c>
      <c r="C38" s="35" t="n">
        <f aca="false">COUNTIF('Vinegar Bath'!$B$9:$B$48,$A38) + COUNTIF('Teriyaki Jerky'!$B$9:$B$48,$A38) + COUNTIF('Gochujangh Jerky'!$B$9:$B$48,$A38) + COUNTIF('Pepper Jerky'!$B$9:$B$48,$A38) + COUNTIF('Karnatka Nati Jerky'!$B$9:$B$48,$A38) + COUNTIF('Kerala fry Jerky'!$B$9:$B$48,$A38) + COUNTIF('Mughlai Jerky'!$B$9:$B$48,$A38) + COUNTIF('Masala Jerky'!$B$9:$B$48,$A38) + COUNTIF('Piri Piri Masala'!$B$9:$B$48,$A38)</f>
        <v>1</v>
      </c>
    </row>
    <row r="39" customFormat="false" ht="15" hidden="false" customHeight="false" outlineLevel="0" collapsed="false">
      <c r="A39" s="26" t="s">
        <v>216</v>
      </c>
      <c r="C39" s="35" t="n">
        <f aca="false">COUNTIF('Vinegar Bath'!$B$9:$B$48,$A39) + COUNTIF('Teriyaki Jerky'!$B$9:$B$48,$A39) + COUNTIF('Gochujangh Jerky'!$B$9:$B$48,$A39) + COUNTIF('Pepper Jerky'!$B$9:$B$48,$A39) + COUNTIF('Karnatka Nati Jerky'!$B$9:$B$48,$A39) + COUNTIF('Kerala fry Jerky'!$B$9:$B$48,$A39) + COUNTIF('Mughlai Jerky'!$B$9:$B$48,$A39) + COUNTIF('Masala Jerky'!$B$9:$B$48,$A39) + COUNTIF('Piri Piri Masala'!$B$9:$B$48,$A39)</f>
        <v>0</v>
      </c>
    </row>
    <row r="40" customFormat="false" ht="15" hidden="false" customHeight="false" outlineLevel="0" collapsed="false">
      <c r="A40" s="26" t="s">
        <v>217</v>
      </c>
      <c r="C40" s="35" t="n">
        <f aca="false">COUNTIF('Vinegar Bath'!$B$9:$B$48,$A40) + COUNTIF('Teriyaki Jerky'!$B$9:$B$48,$A40) + COUNTIF('Gochujangh Jerky'!$B$9:$B$48,$A40) + COUNTIF('Pepper Jerky'!$B$9:$B$48,$A40) + COUNTIF('Karnatka Nati Jerky'!$B$9:$B$48,$A40) + COUNTIF('Kerala fry Jerky'!$B$9:$B$48,$A40) + COUNTIF('Mughlai Jerky'!$B$9:$B$48,$A40) + COUNTIF('Masala Jerky'!$B$9:$B$48,$A40) + COUNTIF('Piri Piri Masala'!$B$9:$B$48,$A40)</f>
        <v>0</v>
      </c>
    </row>
    <row r="41" customFormat="false" ht="15" hidden="false" customHeight="false" outlineLevel="0" collapsed="false">
      <c r="A41" s="26" t="s">
        <v>125</v>
      </c>
      <c r="C41" s="35" t="n">
        <f aca="false">COUNTIF('Vinegar Bath'!$B$9:$B$48,$A41) + COUNTIF('Teriyaki Jerky'!$B$9:$B$48,$A41) + COUNTIF('Gochujangh Jerky'!$B$9:$B$48,$A41) + COUNTIF('Pepper Jerky'!$B$9:$B$48,$A41) + COUNTIF('Karnatka Nati Jerky'!$B$9:$B$48,$A41) + COUNTIF('Kerala fry Jerky'!$B$9:$B$48,$A41) + COUNTIF('Mughlai Jerky'!$B$9:$B$48,$A41) + COUNTIF('Masala Jerky'!$B$9:$B$48,$A41) + COUNTIF('Piri Piri Masala'!$B$9:$B$48,$A41)</f>
        <v>3</v>
      </c>
    </row>
    <row r="42" customFormat="false" ht="15" hidden="false" customHeight="false" outlineLevel="0" collapsed="false">
      <c r="A42" s="26" t="s">
        <v>218</v>
      </c>
      <c r="C42" s="35" t="n">
        <f aca="false">COUNTIF('Vinegar Bath'!$B$9:$B$48,$A42) + COUNTIF('Teriyaki Jerky'!$B$9:$B$48,$A42) + COUNTIF('Gochujangh Jerky'!$B$9:$B$48,$A42) + COUNTIF('Pepper Jerky'!$B$9:$B$48,$A42) + COUNTIF('Karnatka Nati Jerky'!$B$9:$B$48,$A42) + COUNTIF('Kerala fry Jerky'!$B$9:$B$48,$A42) + COUNTIF('Mughlai Jerky'!$B$9:$B$48,$A42) + COUNTIF('Masala Jerky'!$B$9:$B$48,$A42) + COUNTIF('Piri Piri Masala'!$B$9:$B$48,$A42)</f>
        <v>0</v>
      </c>
    </row>
    <row r="43" customFormat="false" ht="15" hidden="false" customHeight="false" outlineLevel="0" collapsed="false">
      <c r="A43" s="26" t="s">
        <v>219</v>
      </c>
      <c r="C43" s="35" t="n">
        <f aca="false">COUNTIF('Vinegar Bath'!$B$9:$B$48,$A43) + COUNTIF('Teriyaki Jerky'!$B$9:$B$48,$A43) + COUNTIF('Gochujangh Jerky'!$B$9:$B$48,$A43) + COUNTIF('Pepper Jerky'!$B$9:$B$48,$A43) + COUNTIF('Karnatka Nati Jerky'!$B$9:$B$48,$A43) + COUNTIF('Kerala fry Jerky'!$B$9:$B$48,$A43) + COUNTIF('Mughlai Jerky'!$B$9:$B$48,$A43) + COUNTIF('Masala Jerky'!$B$9:$B$48,$A43) + COUNTIF('Piri Piri Masala'!$B$9:$B$48,$A43)</f>
        <v>1</v>
      </c>
    </row>
    <row r="44" customFormat="false" ht="15" hidden="false" customHeight="false" outlineLevel="0" collapsed="false">
      <c r="A44" s="26" t="s">
        <v>220</v>
      </c>
      <c r="C44" s="35" t="n">
        <f aca="false">COUNTIF('Vinegar Bath'!$B$9:$B$48,$A44) + COUNTIF('Teriyaki Jerky'!$B$9:$B$48,$A44) + COUNTIF('Gochujangh Jerky'!$B$9:$B$48,$A44) + COUNTIF('Pepper Jerky'!$B$9:$B$48,$A44) + COUNTIF('Karnatka Nati Jerky'!$B$9:$B$48,$A44) + COUNTIF('Kerala fry Jerky'!$B$9:$B$48,$A44) + COUNTIF('Mughlai Jerky'!$B$9:$B$48,$A44) + COUNTIF('Masala Jerky'!$B$9:$B$48,$A44) + COUNTIF('Piri Piri Masala'!$B$9:$B$48,$A44)</f>
        <v>0</v>
      </c>
    </row>
    <row r="45" customFormat="false" ht="15" hidden="false" customHeight="false" outlineLevel="0" collapsed="false">
      <c r="A45" s="26" t="s">
        <v>221</v>
      </c>
      <c r="C45" s="35" t="n">
        <f aca="false">COUNTIF('Vinegar Bath'!$B$9:$B$48,$A45) + COUNTIF('Teriyaki Jerky'!$B$9:$B$48,$A45) + COUNTIF('Gochujangh Jerky'!$B$9:$B$48,$A45) + COUNTIF('Pepper Jerky'!$B$9:$B$48,$A45) + COUNTIF('Karnatka Nati Jerky'!$B$9:$B$48,$A45) + COUNTIF('Kerala fry Jerky'!$B$9:$B$48,$A45) + COUNTIF('Mughlai Jerky'!$B$9:$B$48,$A45) + COUNTIF('Masala Jerky'!$B$9:$B$48,$A45) + COUNTIF('Piri Piri Masala'!$B$9:$B$48,$A45)</f>
        <v>3</v>
      </c>
    </row>
    <row r="46" customFormat="false" ht="15" hidden="false" customHeight="false" outlineLevel="0" collapsed="false">
      <c r="A46" s="26" t="s">
        <v>222</v>
      </c>
      <c r="C46" s="35" t="n">
        <f aca="false">COUNTIF('Vinegar Bath'!$B$9:$B$48,$A46) + COUNTIF('Teriyaki Jerky'!$B$9:$B$48,$A46) + COUNTIF('Gochujangh Jerky'!$B$9:$B$48,$A46) + COUNTIF('Pepper Jerky'!$B$9:$B$48,$A46) + COUNTIF('Karnatka Nati Jerky'!$B$9:$B$48,$A46) + COUNTIF('Kerala fry Jerky'!$B$9:$B$48,$A46) + COUNTIF('Mughlai Jerky'!$B$9:$B$48,$A46) + COUNTIF('Masala Jerky'!$B$9:$B$48,$A46) + COUNTIF('Piri Piri Masala'!$B$9:$B$48,$A46)</f>
        <v>1</v>
      </c>
    </row>
    <row r="47" customFormat="false" ht="15" hidden="false" customHeight="false" outlineLevel="0" collapsed="false">
      <c r="A47" s="26" t="s">
        <v>223</v>
      </c>
      <c r="C47" s="35" t="n">
        <f aca="false">COUNTIF('Vinegar Bath'!$B$9:$B$48,$A47) + COUNTIF('Teriyaki Jerky'!$B$9:$B$48,$A47) + COUNTIF('Gochujangh Jerky'!$B$9:$B$48,$A47) + COUNTIF('Pepper Jerky'!$B$9:$B$48,$A47) + COUNTIF('Karnatka Nati Jerky'!$B$9:$B$48,$A47) + COUNTIF('Kerala fry Jerky'!$B$9:$B$48,$A47) + COUNTIF('Mughlai Jerky'!$B$9:$B$48,$A47) + COUNTIF('Masala Jerky'!$B$9:$B$48,$A47) + COUNTIF('Piri Piri Masala'!$B$9:$B$48,$A47)</f>
        <v>1</v>
      </c>
    </row>
    <row r="48" customFormat="false" ht="15" hidden="false" customHeight="false" outlineLevel="0" collapsed="false">
      <c r="A48" s="26" t="s">
        <v>74</v>
      </c>
      <c r="C48" s="35" t="n">
        <f aca="false">COUNTIF('Vinegar Bath'!$B$9:$B$48,$A48) + COUNTIF('Teriyaki Jerky'!$B$9:$B$48,$A48) + COUNTIF('Gochujangh Jerky'!$B$9:$B$48,$A48) + COUNTIF('Pepper Jerky'!$B$9:$B$48,$A48) + COUNTIF('Karnatka Nati Jerky'!$B$9:$B$48,$A48) + COUNTIF('Kerala fry Jerky'!$B$9:$B$48,$A48) + COUNTIF('Mughlai Jerky'!$B$9:$B$48,$A48) + COUNTIF('Masala Jerky'!$B$9:$B$48,$A48) + COUNTIF('Piri Piri Masala'!$B$9:$B$48,$A48)</f>
        <v>1</v>
      </c>
    </row>
    <row r="49" customFormat="false" ht="15" hidden="false" customHeight="false" outlineLevel="0" collapsed="false">
      <c r="A49" s="26" t="s">
        <v>224</v>
      </c>
      <c r="C49" s="35" t="n">
        <f aca="false">COUNTIF('Vinegar Bath'!$B$9:$B$48,$A49) + COUNTIF('Teriyaki Jerky'!$B$9:$B$48,$A49) + COUNTIF('Gochujangh Jerky'!$B$9:$B$48,$A49) + COUNTIF('Pepper Jerky'!$B$9:$B$48,$A49) + COUNTIF('Karnatka Nati Jerky'!$B$9:$B$48,$A49) + COUNTIF('Kerala fry Jerky'!$B$9:$B$48,$A49) + COUNTIF('Mughlai Jerky'!$B$9:$B$48,$A49) + COUNTIF('Masala Jerky'!$B$9:$B$48,$A49) + COUNTIF('Piri Piri Masala'!$B$9:$B$48,$A49)</f>
        <v>2</v>
      </c>
    </row>
    <row r="50" customFormat="false" ht="15" hidden="false" customHeight="false" outlineLevel="0" collapsed="false">
      <c r="A50" s="26" t="s">
        <v>225</v>
      </c>
      <c r="C50" s="35" t="n">
        <f aca="false">COUNTIF('Vinegar Bath'!$B$9:$B$48,$A50) + COUNTIF('Teriyaki Jerky'!$B$9:$B$48,$A50) + COUNTIF('Gochujangh Jerky'!$B$9:$B$48,$A50) + COUNTIF('Pepper Jerky'!$B$9:$B$48,$A50) + COUNTIF('Karnatka Nati Jerky'!$B$9:$B$48,$A50) + COUNTIF('Kerala fry Jerky'!$B$9:$B$48,$A50) + COUNTIF('Mughlai Jerky'!$B$9:$B$48,$A50) + COUNTIF('Masala Jerky'!$B$9:$B$48,$A50) + COUNTIF('Piri Piri Masala'!$B$9:$B$48,$A50)</f>
        <v>0</v>
      </c>
    </row>
    <row r="51" customFormat="false" ht="15" hidden="false" customHeight="false" outlineLevel="0" collapsed="false">
      <c r="A51" s="26" t="s">
        <v>91</v>
      </c>
      <c r="C51" s="35" t="n">
        <f aca="false">COUNTIF('Vinegar Bath'!$B$9:$B$48,$A51) + COUNTIF('Teriyaki Jerky'!$B$9:$B$48,$A51) + COUNTIF('Gochujangh Jerky'!$B$9:$B$48,$A51) + COUNTIF('Pepper Jerky'!$B$9:$B$48,$A51) + COUNTIF('Karnatka Nati Jerky'!$B$9:$B$48,$A51) + COUNTIF('Kerala fry Jerky'!$B$9:$B$48,$A51) + COUNTIF('Mughlai Jerky'!$B$9:$B$48,$A51) + COUNTIF('Masala Jerky'!$B$9:$B$48,$A51) + COUNTIF('Piri Piri Masala'!$B$9:$B$48,$A51)</f>
        <v>4</v>
      </c>
    </row>
    <row r="52" customFormat="false" ht="15" hidden="false" customHeight="false" outlineLevel="0" collapsed="false">
      <c r="A52" s="26" t="s">
        <v>226</v>
      </c>
      <c r="C52" s="35" t="n">
        <f aca="false">COUNTIF('Vinegar Bath'!$B$9:$B$48,$A52) + COUNTIF('Teriyaki Jerky'!$B$9:$B$48,$A52) + COUNTIF('Gochujangh Jerky'!$B$9:$B$48,$A52) + COUNTIF('Pepper Jerky'!$B$9:$B$48,$A52) + COUNTIF('Karnatka Nati Jerky'!$B$9:$B$48,$A52) + COUNTIF('Kerala fry Jerky'!$B$9:$B$48,$A52) + COUNTIF('Mughlai Jerky'!$B$9:$B$48,$A52) + COUNTIF('Masala Jerky'!$B$9:$B$48,$A52) + COUNTIF('Piri Piri Masala'!$B$9:$B$48,$A52)</f>
        <v>0</v>
      </c>
    </row>
    <row r="53" customFormat="false" ht="15" hidden="false" customHeight="false" outlineLevel="0" collapsed="false">
      <c r="A53" s="26" t="s">
        <v>227</v>
      </c>
      <c r="C53" s="35" t="n">
        <f aca="false">COUNTIF('Vinegar Bath'!$B$9:$B$48,$A53) + COUNTIF('Teriyaki Jerky'!$B$9:$B$48,$A53) + COUNTIF('Gochujangh Jerky'!$B$9:$B$48,$A53) + COUNTIF('Pepper Jerky'!$B$9:$B$48,$A53) + COUNTIF('Karnatka Nati Jerky'!$B$9:$B$48,$A53) + COUNTIF('Kerala fry Jerky'!$B$9:$B$48,$A53) + COUNTIF('Mughlai Jerky'!$B$9:$B$48,$A53) + COUNTIF('Masala Jerky'!$B$9:$B$48,$A53) + COUNTIF('Piri Piri Masala'!$B$9:$B$48,$A53)</f>
        <v>0</v>
      </c>
    </row>
    <row r="54" customFormat="false" ht="15" hidden="false" customHeight="false" outlineLevel="0" collapsed="false">
      <c r="A54" s="26" t="s">
        <v>66</v>
      </c>
      <c r="C54" s="35" t="n">
        <f aca="false">COUNTIF('Vinegar Bath'!$B$9:$B$48,$A54) + COUNTIF('Teriyaki Jerky'!$B$9:$B$48,$A54) + COUNTIF('Gochujangh Jerky'!$B$9:$B$48,$A54) + COUNTIF('Pepper Jerky'!$B$9:$B$48,$A54) + COUNTIF('Karnatka Nati Jerky'!$B$9:$B$48,$A54) + COUNTIF('Kerala fry Jerky'!$B$9:$B$48,$A54) + COUNTIF('Mughlai Jerky'!$B$9:$B$48,$A54) + COUNTIF('Masala Jerky'!$B$9:$B$48,$A54) + COUNTIF('Piri Piri Masala'!$B$9:$B$48,$A54)</f>
        <v>3</v>
      </c>
    </row>
    <row r="55" customFormat="false" ht="15" hidden="false" customHeight="false" outlineLevel="0" collapsed="false">
      <c r="A55" s="26" t="s">
        <v>79</v>
      </c>
      <c r="C55" s="35" t="n">
        <f aca="false">COUNTIF('Vinegar Bath'!$B$9:$B$48,$A55) + COUNTIF('Teriyaki Jerky'!$B$9:$B$48,$A55) + COUNTIF('Gochujangh Jerky'!$B$9:$B$48,$A55) + COUNTIF('Pepper Jerky'!$B$9:$B$48,$A55) + COUNTIF('Karnatka Nati Jerky'!$B$9:$B$48,$A55) + COUNTIF('Kerala fry Jerky'!$B$9:$B$48,$A55) + COUNTIF('Mughlai Jerky'!$B$9:$B$48,$A55) + COUNTIF('Masala Jerky'!$B$9:$B$48,$A55) + COUNTIF('Piri Piri Masala'!$B$9:$B$48,$A55)</f>
        <v>8</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2026-09-25T09:42:39Z</dcterms:created>
  <dc:creator>openpyxl</dc:creator>
  <dc:description/>
  <dc:language>en-US</dc:language>
  <cp:lastModifiedBy/>
  <dcterms:modified xsi:type="dcterms:W3CDTF">2026-09-25T09:42:39Z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